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Sprint Overview" sheetId="2" state="visible" r:id="rId4"/>
    <sheet name="Phase Overview" sheetId="3" state="visible" r:id="rId5"/>
  </sheets>
  <definedNames>
    <definedName function="false" hidden="true" localSheetId="0" name="_xlnm._FilterDatabase" vbProcedure="false">Backlog!$A$1:$K$41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<sst xmlns="http://schemas.openxmlformats.org/spreadsheetml/2006/main" count="512" uniqueCount="250">
  <si>
    <t xml:space="preserve">ID</t>
  </si>
  <si>
    <t xml:space="preserve">Phase</t>
  </si>
  <si>
    <t xml:space="preserve">Epic</t>
  </si>
  <si>
    <t xml:space="preserve">Sprint</t>
  </si>
  <si>
    <t xml:space="preserve">Title (GitHub issue title)</t>
  </si>
  <si>
    <t xml:space="preserve">User Story</t>
  </si>
  <si>
    <t xml:space="preserve">Acceptance Criteria</t>
  </si>
  <si>
    <t xml:space="preserve">Priority (MoSCoW)</t>
  </si>
  <si>
    <t xml:space="preserve">Story Points</t>
  </si>
  <si>
    <t xml:space="preserve">Labels</t>
  </si>
  <si>
    <t xml:space="preserve">Status</t>
  </si>
  <si>
    <t xml:space="preserve">SLX-A1</t>
  </si>
  <si>
    <t xml:space="preserve">Phase 1: MVP</t>
  </si>
  <si>
    <t xml:space="preserve">A: Repository Understanding</t>
  </si>
  <si>
    <t xml:space="preserve">Sprint 1</t>
  </si>
  <si>
    <t xml:space="preserve">Index the repository</t>
  </si>
  <si>
    <t xml:space="preserve">As a developer, I want the agent to index my repository, so that it can retrieve relevant code without needing the entire codebase in context.</t>
  </si>
  <si>
    <t xml:space="preserve">Given a repo path, the system builds a searchable index (file + symbol + embedding based) within a reasonable time for repos up to X files.</t>
  </si>
  <si>
    <t xml:space="preserve">Must</t>
  </si>
  <si>
    <t xml:space="preserve">5</t>
  </si>
  <si>
    <t xml:space="preserve">epic:repo-understanding, priority:must, type:feature, phase:1</t>
  </si>
  <si>
    <t xml:space="preserve">Done</t>
  </si>
  <si>
    <t xml:space="preserve">SLX-A2</t>
  </si>
  <si>
    <t xml:space="preserve">Sprint 2</t>
  </si>
  <si>
    <t xml:space="preserve">Retrieve relevant files for a task</t>
  </si>
  <si>
    <t xml:space="preserve">As a developer, I want the agent to find the right files for a given task automatically, so that I don't have to manually point it at the relevant code.</t>
  </si>
  <si>
    <t xml:space="preserve">Given a task description, the top-N retrieved files include the file(s) actually requiring changes, verified against a labeled test set.</t>
  </si>
  <si>
    <t xml:space="preserve">SLX-A3</t>
  </si>
  <si>
    <t xml:space="preserve">Sprint 3</t>
  </si>
  <si>
    <t xml:space="preserve">Respect project conventions</t>
  </si>
  <si>
    <t xml:space="preserve">As a developer, I want the agent to understand project conventions (style, structure, existing patterns), so that its changes fit naturally into the codebase.</t>
  </si>
  <si>
    <t xml:space="preserve">Agent-authored code passes the project's existing linter without manual fixes in the common case.</t>
  </si>
  <si>
    <t xml:space="preserve">Should</t>
  </si>
  <si>
    <t xml:space="preserve">3</t>
  </si>
  <si>
    <t xml:space="preserve">epic:repo-understanding, priority:should, type:feature, phase:1</t>
  </si>
  <si>
    <t xml:space="preserve">SLX-B1</t>
  </si>
  <si>
    <t xml:space="preserve">B: Requirement Understanding</t>
  </si>
  <si>
    <t xml:space="preserve">Accept plain-language task input</t>
  </si>
  <si>
    <t xml:space="preserve">As a developer, I want to give the agent a plain-language description of a feature or bug, so that I don't have to write a formal spec.</t>
  </si>
  <si>
    <t xml:space="preserve">Free-text input is accepted; agent produces a task plan before making changes.</t>
  </si>
  <si>
    <t xml:space="preserve">2</t>
  </si>
  <si>
    <t xml:space="preserve">epic:requirement-understanding, priority:must, type:feature, phase:1</t>
  </si>
  <si>
    <t xml:space="preserve">SLX-B2</t>
  </si>
  <si>
    <t xml:space="preserve">Sprint 8</t>
  </si>
  <si>
    <t xml:space="preserve">Ask clarifying questions on ambiguity</t>
  </si>
  <si>
    <t xml:space="preserve">As a developer, I want the agent to ask clarifying questions when a requirement is ambiguous, so that it doesn't guess wrong and waste a cycle.</t>
  </si>
  <si>
    <t xml:space="preserve">If confidence in scope is low (e.g. multiple valid interpretations), agent surfaces a question instead of proceeding blindly.</t>
  </si>
  <si>
    <t xml:space="preserve">epic:requirement-understanding, priority:should, type:feature, phase:1</t>
  </si>
  <si>
    <t xml:space="preserve">SLX-B3</t>
  </si>
  <si>
    <t xml:space="preserve">Produce a reviewable task plan</t>
  </si>
  <si>
    <t xml:space="preserve">As a tech lead, I want the agent to break a larger requirement into a task plan I can review before it starts editing, so that I can catch scope issues early.</t>
  </si>
  <si>
    <t xml:space="preserve">Agent outputs an ordered plan (files to touch, approach) before any code is modified, and waits for approval if the task is flagged as large/risky.</t>
  </si>
  <si>
    <t xml:space="preserve">SLX-C1</t>
  </si>
  <si>
    <t xml:space="preserve">C: Code Modification</t>
  </si>
  <si>
    <t xml:space="preserve">Generate diffs, not full-file rewrites</t>
  </si>
  <si>
    <t xml:space="preserve">As a developer, I want the agent to generate a code diff (not full-file rewrites), so that changes are minimal and reviewable.</t>
  </si>
  <si>
    <t xml:space="preserve">Output is a unified diff/patch, not a full file replacement, except when creating new files.</t>
  </si>
  <si>
    <t xml:space="preserve">epic:code-modification, priority:must, type:feature, phase:1</t>
  </si>
  <si>
    <t xml:space="preserve">SLX-C2</t>
  </si>
  <si>
    <t xml:space="preserve">Sprint 7</t>
  </si>
  <si>
    <t xml:space="preserve">Write/update tests alongside changes</t>
  </si>
  <si>
    <t xml:space="preserve">As a developer, I want the agent to write or update tests alongside code changes, so that the change is verifiable and future-proof.</t>
  </si>
  <si>
    <t xml:space="preserve">For any behavior change, at least one corresponding test is added or updated.</t>
  </si>
  <si>
    <t xml:space="preserve">epic:code-modification, priority:should, type:feature, phase:1</t>
  </si>
  <si>
    <t xml:space="preserve">SLX-C3</t>
  </si>
  <si>
    <t xml:space="preserve">Sprint 4</t>
  </si>
  <si>
    <t xml:space="preserve">Run test suite after edits</t>
  </si>
  <si>
    <t xml:space="preserve">As a developer, I want the agent to run the existing test suite after making changes, so that regressions are caught immediately.</t>
  </si>
  <si>
    <t xml:space="preserve">Test suite runs automatically post-edit; results (pass/fail + output) are captured.</t>
  </si>
  <si>
    <t xml:space="preserve">SLX-C4</t>
  </si>
  <si>
    <t xml:space="preserve">Retry and self-correct on failure</t>
  </si>
  <si>
    <t xml:space="preserve">As a developer, I want the agent to retry and self-correct when tests fail, so that I don't have to manually debug its first attempt.</t>
  </si>
  <si>
    <t xml:space="preserve">On failure, error output is fed back to the reasoning engine, which proposes a revised diff, up to a configurable retry limit.</t>
  </si>
  <si>
    <t xml:space="preserve">SLX-D1</t>
  </si>
  <si>
    <t xml:space="preserve">D: Human Oversight &amp; Trust</t>
  </si>
  <si>
    <t xml:space="preserve">Sprint 6</t>
  </si>
  <si>
    <t xml:space="preserve">Deliver changes as pull requests</t>
  </si>
  <si>
    <t xml:space="preserve">As a tech lead, I want every agent change delivered as a pull request, so that a human always reviews before merge.</t>
  </si>
  <si>
    <t xml:space="preserve">No commits land on protected branches without PR + approval flow.</t>
  </si>
  <si>
    <t xml:space="preserve">epic:human-oversight, priority:must, type:feature, phase:1</t>
  </si>
  <si>
    <t xml:space="preserve">SLX-D2</t>
  </si>
  <si>
    <t xml:space="preserve">Show reasoning trace in PR</t>
  </si>
  <si>
    <t xml:space="preserve">As a reviewer, I want to see the agent's reasoning trace alongside the diff, so that I understand why it made each change.</t>
  </si>
  <si>
    <t xml:space="preserve">PR description includes a summary of the plan, key decisions, and test results.</t>
  </si>
  <si>
    <t xml:space="preserve">epic:human-oversight, priority:should, type:feature, phase:1</t>
  </si>
  <si>
    <t xml:space="preserve">SLX-D3</t>
  </si>
  <si>
    <t xml:space="preserve">Accept conversational PR feedback</t>
  </si>
  <si>
    <t xml:space="preserve">As a developer, I want to reject or request changes to an agent's PR conversationally, so that I can course-correct without starting over.</t>
  </si>
  <si>
    <t xml:space="preserve">Feedback on a PR is fed back into the agent's context for a revised attempt.</t>
  </si>
  <si>
    <t xml:space="preserve">Could</t>
  </si>
  <si>
    <t xml:space="preserve">epic:human-oversight, priority:could, type:feature, phase:1</t>
  </si>
  <si>
    <t xml:space="preserve">SLX-D4</t>
  </si>
  <si>
    <t xml:space="preserve">Task outcomes dashboard (basic/CLI)</t>
  </si>
  <si>
    <t xml:space="preserve">As an engineering manager, I want visibility into how many tasks the agent attempted, resolved, or failed, so that I can gauge its reliability over time.</t>
  </si>
  <si>
    <t xml:space="preserve">A dashboard/log shows task outcomes, retry counts, and time-to-resolution.</t>
  </si>
  <si>
    <t xml:space="preserve">epic:human-oversight, priority:could, type:chore, phase:1</t>
  </si>
  <si>
    <t xml:space="preserve">SLX-E1</t>
  </si>
  <si>
    <t xml:space="preserve">E: Safety &amp; Guardrails</t>
  </si>
  <si>
    <t xml:space="preserve">Sprint 5</t>
  </si>
  <si>
    <t xml:space="preserve">Sandbox all code execution</t>
  </si>
  <si>
    <t xml:space="preserve">As a developer, I want the agent to run in a sandboxed environment, so that it can't affect my machine or production systems directly.</t>
  </si>
  <si>
    <t xml:space="preserve">All code execution happens in an isolated container/VM with no access to host secrets or unrelated systems.</t>
  </si>
  <si>
    <t xml:space="preserve">epic:safety, priority:must, type:chore, phase:1</t>
  </si>
  <si>
    <t xml:space="preserve">SLX-E2</t>
  </si>
  <si>
    <t xml:space="preserve">Confirm before destructive operations</t>
  </si>
  <si>
    <t xml:space="preserve">As a developer, I want the agent to ask for explicit confirmation before destructive operations, so that mistakes are never silent.</t>
  </si>
  <si>
    <t xml:space="preserve">Any operation on a configurable 'dangerous ops' list requires an explicit user confirmation step.</t>
  </si>
  <si>
    <t xml:space="preserve">epic:safety, priority:must, type:feature, phase:1</t>
  </si>
  <si>
    <t xml:space="preserve">SLX-E3</t>
  </si>
  <si>
    <t xml:space="preserve">Cap retries per task</t>
  </si>
  <si>
    <t xml:space="preserve">As a developer, I want a hard cap on retries per task, so that a stuck task doesn't burn unbounded time or API cost.</t>
  </si>
  <si>
    <t xml:space="preserve">Configurable max retry count; task is marked 'needs human help' once exceeded, rather than looping forever.</t>
  </si>
  <si>
    <t xml:space="preserve">SLX-F1</t>
  </si>
  <si>
    <t xml:space="preserve">F: Developer Experience</t>
  </si>
  <si>
    <t xml:space="preserve">Submit tasks via CLI</t>
  </si>
  <si>
    <t xml:space="preserve">As a developer, I want to submit a task via CLI, so that I can integrate this into my existing terminal workflow.</t>
  </si>
  <si>
    <t xml:space="preserve">`solvix run "&lt;task description&gt;"` triggers the full loop against the current repo.</t>
  </si>
  <si>
    <t xml:space="preserve">epic:dev-experience, priority:must, type:feature, phase:1</t>
  </si>
  <si>
    <t xml:space="preserve">SLX-F2</t>
  </si>
  <si>
    <t xml:space="preserve">Live progress updates</t>
  </si>
  <si>
    <t xml:space="preserve">As a developer, I want to see live progress (what file it's looking at, what it's trying), so that I'm not staring at a black box.</t>
  </si>
  <si>
    <t xml:space="preserve">Streaming status updates during retrieval, planning, editing, and testing phases.</t>
  </si>
  <si>
    <t xml:space="preserve">epic:dev-experience, priority:should, type:feature, phase:1</t>
  </si>
  <si>
    <t xml:space="preserve">SLX-F3</t>
  </si>
  <si>
    <t xml:space="preserve">Configurable path allow/deny list</t>
  </si>
  <si>
    <t xml:space="preserve">As a developer, I want to configure which parts of the repo the agent is allowed to touch, so that sensitive files are never modified.</t>
  </si>
  <si>
    <t xml:space="preserve">A config file (.solvix.yml) supports include/exclude paths, enforced before any write operation.</t>
  </si>
  <si>
    <t xml:space="preserve">SLX-P2-1</t>
  </si>
  <si>
    <t xml:space="preserve">Phase 2: Trust &amp; UX</t>
  </si>
  <si>
    <t xml:space="preserve">G: Platform Integration</t>
  </si>
  <si>
    <t xml:space="preserve">Sprint 9</t>
  </si>
  <si>
    <t xml:space="preserve">GitHub App integration</t>
  </si>
  <si>
    <t xml:space="preserve">As a developer, I want the agent to run as a GitHub App that responds to issues/PR comments, so that I don't need the CLI to trigger tasks.</t>
  </si>
  <si>
    <t xml:space="preserve">Installing the GitHub App on a repo allows triggering tasks via issue labels or comments; agent posts PRs automatically without local CLI use.</t>
  </si>
  <si>
    <t xml:space="preserve">8</t>
  </si>
  <si>
    <t xml:space="preserve">epic:platform-integration, priority:must, type:feature, phase:2</t>
  </si>
  <si>
    <t xml:space="preserve">To Do</t>
  </si>
  <si>
    <t xml:space="preserve">SLX-P2-2</t>
  </si>
  <si>
    <t xml:space="preserve">Browsable reasoning trace UI</t>
  </si>
  <si>
    <t xml:space="preserve">As a reviewer, I want a rich, browsable view of the agent's reasoning trace (not just PR text), so that I can audit decisions without reading raw logs.</t>
  </si>
  <si>
    <t xml:space="preserve">A web view shows the step-by-step plan, diffs per step, and test results in a navigable UI, linked from the PR.</t>
  </si>
  <si>
    <t xml:space="preserve">epic:human-oversight, priority:should, type:feature, phase:2</t>
  </si>
  <si>
    <t xml:space="preserve">SLX-P2-3</t>
  </si>
  <si>
    <t xml:space="preserve">Sprint 10</t>
  </si>
  <si>
    <t xml:space="preserve">Multi-file, multi-step tasks</t>
  </si>
  <si>
    <t xml:space="preserve">As a developer, I want the agent to handle tasks that span multiple files and multiple sequential steps, so that I can request larger features, not just single-file fixes.</t>
  </si>
  <si>
    <t xml:space="preserve">Planner can output plans with 5+ ordered steps across different files, executing and verifying each step before proceeding to the next.</t>
  </si>
  <si>
    <t xml:space="preserve">epic:code-modification, priority:must, type:feature, phase:2</t>
  </si>
  <si>
    <t xml:space="preserve">SLX-P2-4</t>
  </si>
  <si>
    <t xml:space="preserve">Configurable style guide / conventions doc</t>
  </si>
  <si>
    <t xml:space="preserve">As a developer, I want to define a style guide or conventions doc that the agent references, so that generated code matches team standards beyond what the linter catches.</t>
  </si>
  <si>
    <t xml:space="preserve">A conventions file (e.g. CONVENTIONS.md) is included in context assembly; agent-authored code is checked against it before PR creation.</t>
  </si>
  <si>
    <t xml:space="preserve">epic:repo-understanding, priority:should, type:feature, phase:2</t>
  </si>
  <si>
    <t xml:space="preserve">SLX-P2-5</t>
  </si>
  <si>
    <t xml:space="preserve">Sprint 11</t>
  </si>
  <si>
    <t xml:space="preserve">Per-path approval workflows</t>
  </si>
  <si>
    <t xml:space="preserve">As a tech lead, I want granular approval workflows per path/module (not just a single sensitive-path flag), so that different teams can set different oversight levels.</t>
  </si>
  <si>
    <t xml:space="preserve">Config supports per-path approval rules (auto-merge, review-required, blocked), enforced by the PR builder and guardrails layer.</t>
  </si>
  <si>
    <t xml:space="preserve">epic:safety, priority:could, type:feature, phase:2</t>
  </si>
  <si>
    <t xml:space="preserve">SLX-P2-6</t>
  </si>
  <si>
    <t xml:space="preserve">Notification integrations</t>
  </si>
  <si>
    <t xml:space="preserve">As a developer, I want Slack/email notifications when a task completes or needs review, so that I don't have to poll for status.</t>
  </si>
  <si>
    <t xml:space="preserve">A configurable webhook/notification fires on task completion, failure, or approval-needed events.</t>
  </si>
  <si>
    <t xml:space="preserve">epic:dev-experience, priority:could, type:feature, phase:2</t>
  </si>
  <si>
    <t xml:space="preserve">SLX-P2-7</t>
  </si>
  <si>
    <t xml:space="preserve">Sprint 12</t>
  </si>
  <si>
    <t xml:space="preserve">Web dashboard for task history</t>
  </si>
  <si>
    <t xml:space="preserve">As an engineering manager, I want a web dashboard (not just CLI logs) showing task history across the team, so that I can track usage and outcomes.</t>
  </si>
  <si>
    <t xml:space="preserve">A hosted or self-hosted web view lists tasks, statuses, retry counts, and links to PRs across all repos using Solvix.</t>
  </si>
  <si>
    <t xml:space="preserve">SLX-P3-1</t>
  </si>
  <si>
    <t xml:space="preserve">Phase 3: Scale &amp; Autonomy</t>
  </si>
  <si>
    <t xml:space="preserve">H: Multi-Repo &amp; Scale</t>
  </si>
  <si>
    <t xml:space="preserve">Sprint 13</t>
  </si>
  <si>
    <t xml:space="preserve">Multi-repo task support</t>
  </si>
  <si>
    <t xml:space="preserve">As a developer, I want the agent to operate across multiple repositories in one task, so that I can request changes spanning services (e.g. API + client).</t>
  </si>
  <si>
    <t xml:space="preserve">A task can specify multiple repos; agent coordinates changes and opens linked PRs across all affected repos.</t>
  </si>
  <si>
    <t xml:space="preserve">epic:multi-repo-scale, priority:must, type:feature, phase:3</t>
  </si>
  <si>
    <t xml:space="preserve">SLX-P3-2</t>
  </si>
  <si>
    <t xml:space="preserve">Asynchronous task queue</t>
  </si>
  <si>
    <t xml:space="preserve">As a developer, I want to submit a task and receive the PR later (not wait synchronously), so that I can queue up multiple tasks without blocking my terminal.</t>
  </si>
  <si>
    <t xml:space="preserve">Tasks are queued, processed asynchronously in the background, and status is queryable and notifiable.</t>
  </si>
  <si>
    <t xml:space="preserve">SLX-P3-3</t>
  </si>
  <si>
    <t xml:space="preserve">Sprint 14</t>
  </si>
  <si>
    <t xml:space="preserve">Learn from PR feedback history</t>
  </si>
  <si>
    <t xml:space="preserve">As a tech lead, I want the agent to learn from previously accepted/rejected PRs, so that its suggestions improve over time for our specific codebase.</t>
  </si>
  <si>
    <t xml:space="preserve">Rejected PR feedback is stored and referenced in future context assembly for similar tasks; measurable improvement in acceptance rate over time.</t>
  </si>
  <si>
    <t xml:space="preserve">epic:multi-repo-scale, priority:could, type:feature, phase:3</t>
  </si>
  <si>
    <t xml:space="preserve">SLX-P3-4</t>
  </si>
  <si>
    <t xml:space="preserve">Multi-language/framework support</t>
  </si>
  <si>
    <t xml:space="preserve">As a developer, I want the agent to support multiple languages/frameworks (not just one), so that I can use it across our polyglot codebase.</t>
  </si>
  <si>
    <t xml:space="preserve">Indexer, test runner, and guardrails support at least 2 additional languages beyond the MVP target, configurable per repo.</t>
  </si>
  <si>
    <t xml:space="preserve">epic:multi-repo-scale, priority:should, type:feature, phase:3</t>
  </si>
  <si>
    <t xml:space="preserve">SLX-P3-5</t>
  </si>
  <si>
    <t xml:space="preserve">Sprint 15</t>
  </si>
  <si>
    <t xml:space="preserve">Cross-repo dependency awareness</t>
  </si>
  <si>
    <t xml:space="preserve">As a developer, I want the agent to understand dependencies between repos (e.g. shared libraries), so that multi-repo changes remain consistent.</t>
  </si>
  <si>
    <t xml:space="preserve">Agent detects and surfaces cross-repo dependency impacts before proposing a multi-repo plan.</t>
  </si>
  <si>
    <t xml:space="preserve">SLX-P3-6</t>
  </si>
  <si>
    <t xml:space="preserve">Guided setup wizard (init)</t>
  </si>
  <si>
    <t xml:space="preserve">As a new user, I want a guided setup wizard when adding a new repo, so that I don't need to hand-write the entire config file.</t>
  </si>
  <si>
    <t xml:space="preserve">`solvix init` interactively detects language, test command, and suggests sensible config defaults for confirmation.</t>
  </si>
  <si>
    <t xml:space="preserve">epic:dev-experience, priority:should, type:feature, phase:3</t>
  </si>
  <si>
    <t xml:space="preserve">SLX-A4</t>
  </si>
  <si>
    <t xml:space="preserve">Incremental re-indexing</t>
  </si>
  <si>
    <t xml:space="preserve">As a developer, I want the indexer to re-index only changed files on subsequent runs, so that repeated indexing is fast and doesn't waste time/compute re-embedding unchanged code.</t>
  </si>
  <si>
    <t xml:space="preserve">On a second index_repo() call, only files whose content hash has changed since the last index are re-chunked and re-embedded; unchanged files' existing vectors/symbols are reused.</t>
  </si>
  <si>
    <t xml:space="preserve">SLX-A5</t>
  </si>
  <si>
    <t xml:space="preserve">Truncate context to model budget</t>
  </si>
  <si>
    <t xml:space="preserve">As a developer, I want the assembled context (retrieved chunks, symbol matches, related files) ranked and truncated to fit the reasoning model's context window, so that large tasks don't silently overflow or get an incoherent, oversized prompt.</t>
  </si>
  <si>
    <t xml:space="preserve">Given a retrieval result larger than the configured token budget, the assembler ranks sources by priority (exact symbol match &gt; high-similarity chunk &gt; one-hop related file) and truncates to fit, without cutting a chunk mid-function.</t>
  </si>
  <si>
    <t xml:space="preserve">SLX-E4</t>
  </si>
  <si>
    <t xml:space="preserve">Reduce dangerous-ops false positives</t>
  </si>
  <si>
    <t xml:space="preserve">As a developer, I want the dangerous-ops patterns to match actual SQL/git commands rather than bare identifier names, so that ordinary code (e.g. a variable or function named truncate) does not constantly trigger unnecessary confirmation prompts.</t>
  </si>
  <si>
    <t xml:space="preserve">Given a diff containing the word "truncate" (or similar) only as a plain code identifier and not as part of an actual SQL/git destructive command, check_dangerous_ops does not flag it; the existing built-in destructive-command patterns still fire correctly on real dangerous commands.</t>
  </si>
  <si>
    <t xml:space="preserve">epic:safety, priority:should, type:bug, phase:1</t>
  </si>
  <si>
    <t xml:space="preserve">SLX-P3-7</t>
  </si>
  <si>
    <t xml:space="preserve">Interactive live-edit mode (solvix chat)</t>
  </si>
  <si>
    <t xml:space="preserve">As a developer, I want an interactive mode where the agent proposes one diff at a time directly against my real working files (not a sandboxed scratch copy ending in a PR), so that I can review and approve changes live, similar to working with a pair-programming assistant.</t>
  </si>
  <si>
    <t xml:space="preserve">Running solvix chat reads the repo the same way as solvix run, but proposes each diff directly against the real working tree one step at a time, waits for explicit per-diff approval before writing it, and does not require a full task to complete before any change is visible — this is an additive mode alongside the existing sandboxed, PR-based solvix run flow, not a replacement for it.</t>
  </si>
  <si>
    <t xml:space="preserve">SLX-C5</t>
  </si>
  <si>
    <t xml:space="preserve">Detect assertion-gaming on retry</t>
  </si>
  <si>
    <t xml:space="preserve">As a developer, I want the system to flag (not just silently accept) a retry that passes tests by rewriting an expected/literal value in a test assertion rather than fixing the implementation, so that a locally-run smaller model cannot satisfy "tests pass" by rewriting the test to match whatever the code already does.</t>
  </si>
  <si>
    <t xml:space="preserve">Given a retry attempt whose diff modifies a literal/expected value inside an existing or newly-added assertion (e.g. a hardcoded number, string, or comparison target) in the same step where the previous attempt failed specifically because of that literal, the step result flags this explicitly (e.g. assertion_literal_changed=True with the before/after values) even if the test suite ultimately passes — verified with a case reproducing the real add(0.1, 0.2) == 0.3 -&gt; == 0.30000000000000004 example found during SLX-D2's smoke test.</t>
  </si>
  <si>
    <t xml:space="preserve">epic:code-modification, priority:should, type:bug, phase:1</t>
  </si>
  <si>
    <t xml:space="preserve">SLX-C6</t>
  </si>
  <si>
    <t xml:space="preserve">Feed diff-generation failures into the outer retry loop</t>
  </si>
  <si>
    <t xml:space="preserve">As a developer, I want a DiffGenerationError (raised after propose_diff exhausts its own internal one-shot correction retry) to consume one attempt of the outer per-step retry budget rather than immediately terminating the step with needs_human_help=True, so that a malformed/unparseable diff gets the same real retry opportunity a failed test already gets, instead of wasting unused attempts and forcing a manual full re-run.</t>
  </si>
  <si>
    <t xml:space="preserve">Given a step whose first propose_diff call raises DiffGenerationError, execute_step_with_verification treats this as a normal retriable failure within its own outer per-step budget (max_retries) — feeding the parse/diff-generation failure reason into the next attempt's prompt, the same way a test failure's output is fed back today — and only sets needs_human_help=True once the OUTER budget itself is exhausted, not on the first DiffGenerationError. Reproduced by the real missing ---/+++ header case found live during SLX-F2's smoke test.</t>
  </si>
  <si>
    <t xml:space="preserve">SLX-C7</t>
  </si>
  <si>
    <t xml:space="preserve">Detect tolerance/rounding-wrapper assertion-gaming</t>
  </si>
  <si>
    <t xml:space="preserve">As a developer, I want the system to also flag a retry that makes a failing assertion pass by wrapping the comparison in a tolerance/rounding mechanism (round(), pytest.approx, abs(x-y)&lt;epsilon, or similar) rather than fixing the implementation, so that this style of gaming — found during SLX-C5's smoke test to be this model's more common default cheating behavior, more common than the literal-value swap SLX-C5 already catches — does not silently pass undetected.</t>
  </si>
  <si>
    <t xml:space="preserve">Given a retry attempt whose diff introduces a tolerance/rounding wrapper (round(), pytest.approx, math.isclose, or an inline absolute-difference-under-epsilon pattern) around a comparison in the same assertion where the previous attempt failed on an exact-equality check, the step result flags this explicitly (with the before/after assertion text), even if the test suite ultimately passes — reusing SLX-C5's existing assertion_gaming_suspected/assertion_gaming_details fields and "Needs attention" PR surfacing rather than inventing a new mechanism.</t>
  </si>
  <si>
    <t xml:space="preserve">Focus</t>
  </si>
  <si>
    <t xml:space="preserve">Story Count</t>
  </si>
  <si>
    <t xml:space="preserve">Total Story Points</t>
  </si>
  <si>
    <t xml:space="preserve">Repo indexer (chunking + embeddings + symbol index)</t>
  </si>
  <si>
    <t xml:space="preserve">Context assembler + planner + plain-language input</t>
  </si>
  <si>
    <t xml:space="preserve">Editor diffs + project convention handling</t>
  </si>
  <si>
    <t xml:space="preserve">Test runner integration + retry loop</t>
  </si>
  <si>
    <t xml:space="preserve">Guardrails (sandbox, confirmations, retry cap, path config)</t>
  </si>
  <si>
    <t xml:space="preserve">PR builder, CLI, live progress, reasoning trace</t>
  </si>
  <si>
    <t xml:space="preserve">Golden-task benchmark + test generation</t>
  </si>
  <si>
    <t xml:space="preserve">Clarifying questions, PR feedback loop, outcomes dashboard</t>
  </si>
  <si>
    <t xml:space="preserve">GitHub App integration + browsable reasoning trace</t>
  </si>
  <si>
    <t xml:space="preserve">Multi-file/multi-step tasks + conventions doc support</t>
  </si>
  <si>
    <t xml:space="preserve">Per-path approvals + notification integrations</t>
  </si>
  <si>
    <t xml:space="preserve">Multi-repo task support + async task queue</t>
  </si>
  <si>
    <t xml:space="preserve">Learning from PR feedback + multi-language support</t>
  </si>
  <si>
    <t xml:space="preserve">Cross-repo dependency awareness + setup wizard</t>
  </si>
  <si>
    <t xml:space="preserve">Total</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</si>
</sst>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9">
    <fill>
      <patternFill patternType="none"/>
    </fill>
    <fill>
      <patternFill patternType="gray125"/>
    </fill>
    <fill>
      <patternFill patternType="solid">
        <fgColor rgb="FF2C3E50"/>
        <bgColor rgb="FF333399"/>
      </patternFill>
    </fill>
    <fill>
      <patternFill patternType="solid">
        <fgColor rgb="FFDCEEFB"/>
        <bgColor rgb="FFE8E4F5"/>
      </patternFill>
    </fill>
    <fill>
      <patternFill patternType="solid">
        <fgColor rgb="FFF8D7DA"/>
        <bgColor rgb="FFFDEBD8"/>
      </patternFill>
    </fill>
    <fill>
      <patternFill patternType="solid">
        <fgColor rgb="FFFFF3CD"/>
        <bgColor rgb="FFFDEBD8"/>
      </patternFill>
    </fill>
    <fill>
      <patternFill patternType="solid">
        <fgColor rgb="FFD4EDDA"/>
        <bgColor rgb="FFDCEEFB"/>
      </patternFill>
    </fill>
    <fill>
      <patternFill patternType="solid">
        <fgColor rgb="FFE8E4F5"/>
        <bgColor rgb="FFDCEEFB"/>
      </patternFill>
    </fill>
    <fill>
      <patternFill patternType="solid">
        <fgColor rgb="FFFDEBD8"/>
        <bgColor rgb="FFFFF3CD"/>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C3E50"/>
          <bgColor rgb="FF000000"/>
        </patternFill>
      </fill>
    </dxf>
    <dxf>
      <fill>
        <patternFill patternType="solid">
          <bgColor rgb="FF000000"/>
        </patternFill>
      </fill>
    </dxf>
    <dxf>
      <fill>
        <patternFill patternType="solid">
          <fgColor rgb="FFFFFFFF"/>
          <bgColor rgb="FF000000"/>
        </patternFill>
      </fill>
    </dxf>
    <dxf>
      <fill>
        <patternFill patternType="solid">
          <fgColor rgb="FFDCEEFB"/>
          <bgColor rgb="FF000000"/>
        </patternFill>
      </fill>
    </dxf>
    <dxf>
      <fill>
        <patternFill patternType="solid">
          <fgColor rgb="FFE8E4F5"/>
          <bgColor rgb="FF000000"/>
        </patternFill>
      </fill>
    </dxf>
    <dxf>
      <fill>
        <patternFill patternType="solid">
          <fgColor rgb="FFFDEBD8"/>
          <bgColor rgb="FF000000"/>
        </patternFill>
      </fill>
    </dxf>
    <dxf>
      <fill>
        <patternFill patternType="solid">
          <fgColor rgb="FFD4EDDA"/>
          <bgColor rgb="FF000000"/>
        </patternFill>
      </fill>
    </dxf>
    <dxf>
      <fill>
        <patternFill patternType="solid">
          <fgColor rgb="FFF8D7DA"/>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DCEE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E4F5"/>
      <rgbColor rgb="FFD4EDDA"/>
      <rgbColor rgb="FFFDEBD8"/>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26"/>
    <col collapsed="false" customWidth="true" hidden="false" outlineLevel="0" max="4" min="4" style="1" width="10"/>
    <col collapsed="false" customWidth="true" hidden="false" outlineLevel="0" max="5" min="5" style="1" width="32"/>
    <col collapsed="false" customWidth="true" hidden="false" outlineLevel="0" max="7" min="6" style="1" width="55"/>
    <col collapsed="false" customWidth="true" hidden="false" outlineLevel="0" max="8" min="8" style="1" width="14"/>
    <col collapsed="false" customWidth="true" hidden="false" outlineLevel="0" max="9" min="9" style="1" width="10"/>
    <col collapsed="false" customWidth="true" hidden="false" outlineLevel="0" max="10" min="10" style="1" width="40"/>
    <col collapsed="false" customWidth="true" hidden="false" outlineLevel="0" max="11" min="11" style="1" width="10"/>
  </cols>
  <sheetData>
    <row r="1" customFormat="false" ht="33.7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34.5" hidden="false" customHeight="true" outlineLevel="0" collapsed="false">
      <c r="A2" s="3" t="s">
        <v>11</v>
      </c>
      <c r="B2" s="4" t="s">
        <v>12</v>
      </c>
      <c r="C2" s="3" t="s">
        <v>13</v>
      </c>
      <c r="D2" s="3" t="s">
        <v>14</v>
      </c>
      <c r="E2" s="3" t="s">
        <v>15</v>
      </c>
      <c r="F2" s="3" t="s">
        <v>16</v>
      </c>
      <c r="G2" s="3" t="s">
        <v>17</v>
      </c>
      <c r="H2" s="5" t="s">
        <v>18</v>
      </c>
      <c r="I2" s="3" t="s">
        <v>19</v>
      </c>
      <c r="J2" s="3" t="s">
        <v>20</v>
      </c>
      <c r="K2" s="3" t="s">
        <v>21</v>
      </c>
    </row>
    <row r="3" customFormat="false" ht="34.5" hidden="false" customHeight="true" outlineLevel="0" collapsed="false">
      <c r="A3" s="3" t="s">
        <v>22</v>
      </c>
      <c r="B3" s="4" t="s">
        <v>12</v>
      </c>
      <c r="C3" s="3" t="s">
        <v>13</v>
      </c>
      <c r="D3" s="3" t="s">
        <v>23</v>
      </c>
      <c r="E3" s="3" t="s">
        <v>24</v>
      </c>
      <c r="F3" s="3" t="s">
        <v>25</v>
      </c>
      <c r="G3" s="3" t="s">
        <v>26</v>
      </c>
      <c r="H3" s="5" t="s">
        <v>18</v>
      </c>
      <c r="I3" s="3" t="s">
        <v>19</v>
      </c>
      <c r="J3" s="3" t="s">
        <v>20</v>
      </c>
      <c r="K3" s="3" t="s">
        <v>21</v>
      </c>
    </row>
    <row r="4" customFormat="false" ht="34.5" hidden="false" customHeight="true" outlineLevel="0" collapsed="false">
      <c r="A4" s="3" t="s">
        <v>27</v>
      </c>
      <c r="B4" s="4" t="s">
        <v>12</v>
      </c>
      <c r="C4" s="3" t="s">
        <v>13</v>
      </c>
      <c r="D4" s="3" t="s">
        <v>28</v>
      </c>
      <c r="E4" s="3" t="s">
        <v>29</v>
      </c>
      <c r="F4" s="3" t="s">
        <v>30</v>
      </c>
      <c r="G4" s="3" t="s">
        <v>31</v>
      </c>
      <c r="H4" s="6" t="s">
        <v>32</v>
      </c>
      <c r="I4" s="3" t="s">
        <v>33</v>
      </c>
      <c r="J4" s="3" t="s">
        <v>34</v>
      </c>
      <c r="K4" s="3" t="s">
        <v>21</v>
      </c>
    </row>
    <row r="5" customFormat="false" ht="34.5" hidden="false" customHeight="true" outlineLevel="0" collapsed="false">
      <c r="A5" s="3" t="s">
        <v>35</v>
      </c>
      <c r="B5" s="4" t="s">
        <v>12</v>
      </c>
      <c r="C5" s="3" t="s">
        <v>36</v>
      </c>
      <c r="D5" s="3" t="s">
        <v>23</v>
      </c>
      <c r="E5" s="3" t="s">
        <v>37</v>
      </c>
      <c r="F5" s="3" t="s">
        <v>38</v>
      </c>
      <c r="G5" s="3" t="s">
        <v>39</v>
      </c>
      <c r="H5" s="5" t="s">
        <v>18</v>
      </c>
      <c r="I5" s="3" t="s">
        <v>40</v>
      </c>
      <c r="J5" s="3" t="s">
        <v>41</v>
      </c>
      <c r="K5" s="3" t="s">
        <v>21</v>
      </c>
    </row>
    <row r="6" customFormat="false" ht="34.5" hidden="false" customHeight="true" outlineLevel="0" collapsed="false">
      <c r="A6" s="3" t="s">
        <v>42</v>
      </c>
      <c r="B6" s="4" t="s">
        <v>12</v>
      </c>
      <c r="C6" s="3" t="s">
        <v>36</v>
      </c>
      <c r="D6" s="3" t="s">
        <v>43</v>
      </c>
      <c r="E6" s="3" t="s">
        <v>44</v>
      </c>
      <c r="F6" s="3" t="s">
        <v>45</v>
      </c>
      <c r="G6" s="3" t="s">
        <v>46</v>
      </c>
      <c r="H6" s="6" t="s">
        <v>32</v>
      </c>
      <c r="I6" s="3" t="s">
        <v>33</v>
      </c>
      <c r="J6" s="3" t="s">
        <v>47</v>
      </c>
      <c r="K6" s="3" t="s">
        <v>21</v>
      </c>
    </row>
    <row r="7" customFormat="false" ht="34.5" hidden="false" customHeight="true" outlineLevel="0" collapsed="false">
      <c r="A7" s="3" t="s">
        <v>48</v>
      </c>
      <c r="B7" s="4" t="s">
        <v>12</v>
      </c>
      <c r="C7" s="3" t="s">
        <v>36</v>
      </c>
      <c r="D7" s="3" t="s">
        <v>23</v>
      </c>
      <c r="E7" s="3" t="s">
        <v>49</v>
      </c>
      <c r="F7" s="3" t="s">
        <v>50</v>
      </c>
      <c r="G7" s="3" t="s">
        <v>51</v>
      </c>
      <c r="H7" s="5" t="s">
        <v>18</v>
      </c>
      <c r="I7" s="3" t="s">
        <v>19</v>
      </c>
      <c r="J7" s="3" t="s">
        <v>41</v>
      </c>
      <c r="K7" s="3" t="s">
        <v>21</v>
      </c>
    </row>
    <row r="8" customFormat="false" ht="23.25" hidden="false" customHeight="true" outlineLevel="0" collapsed="false">
      <c r="A8" s="3" t="s">
        <v>52</v>
      </c>
      <c r="B8" s="4" t="s">
        <v>12</v>
      </c>
      <c r="C8" s="3" t="s">
        <v>53</v>
      </c>
      <c r="D8" s="3" t="s">
        <v>28</v>
      </c>
      <c r="E8" s="3" t="s">
        <v>54</v>
      </c>
      <c r="F8" s="3" t="s">
        <v>55</v>
      </c>
      <c r="G8" s="3" t="s">
        <v>56</v>
      </c>
      <c r="H8" s="5" t="s">
        <v>18</v>
      </c>
      <c r="I8" s="3" t="s">
        <v>19</v>
      </c>
      <c r="J8" s="3" t="s">
        <v>57</v>
      </c>
      <c r="K8" s="3" t="s">
        <v>21</v>
      </c>
    </row>
    <row r="9" customFormat="false" ht="23.25" hidden="false" customHeight="true" outlineLevel="0" collapsed="false">
      <c r="A9" s="3" t="s">
        <v>58</v>
      </c>
      <c r="B9" s="4" t="s">
        <v>12</v>
      </c>
      <c r="C9" s="3" t="s">
        <v>53</v>
      </c>
      <c r="D9" s="3" t="s">
        <v>59</v>
      </c>
      <c r="E9" s="3" t="s">
        <v>60</v>
      </c>
      <c r="F9" s="3" t="s">
        <v>61</v>
      </c>
      <c r="G9" s="3" t="s">
        <v>62</v>
      </c>
      <c r="H9" s="6" t="s">
        <v>32</v>
      </c>
      <c r="I9" s="3" t="s">
        <v>19</v>
      </c>
      <c r="J9" s="3" t="s">
        <v>63</v>
      </c>
      <c r="K9" s="3" t="s">
        <v>21</v>
      </c>
    </row>
    <row r="10" customFormat="false" ht="23.25" hidden="false" customHeight="true" outlineLevel="0" collapsed="false">
      <c r="A10" s="3" t="s">
        <v>64</v>
      </c>
      <c r="B10" s="4" t="s">
        <v>12</v>
      </c>
      <c r="C10" s="3" t="s">
        <v>53</v>
      </c>
      <c r="D10" s="3" t="s">
        <v>65</v>
      </c>
      <c r="E10" s="3" t="s">
        <v>66</v>
      </c>
      <c r="F10" s="3" t="s">
        <v>67</v>
      </c>
      <c r="G10" s="3" t="s">
        <v>68</v>
      </c>
      <c r="H10" s="5" t="s">
        <v>18</v>
      </c>
      <c r="I10" s="3" t="s">
        <v>33</v>
      </c>
      <c r="J10" s="3" t="s">
        <v>57</v>
      </c>
      <c r="K10" s="3" t="s">
        <v>21</v>
      </c>
    </row>
    <row r="11" customFormat="false" ht="23.25" hidden="false" customHeight="true" outlineLevel="0" collapsed="false">
      <c r="A11" s="3" t="s">
        <v>69</v>
      </c>
      <c r="B11" s="4" t="s">
        <v>12</v>
      </c>
      <c r="C11" s="3" t="s">
        <v>53</v>
      </c>
      <c r="D11" s="3" t="s">
        <v>65</v>
      </c>
      <c r="E11" s="3" t="s">
        <v>70</v>
      </c>
      <c r="F11" s="3" t="s">
        <v>71</v>
      </c>
      <c r="G11" s="3" t="s">
        <v>72</v>
      </c>
      <c r="H11" s="5" t="s">
        <v>18</v>
      </c>
      <c r="I11" s="3" t="s">
        <v>19</v>
      </c>
      <c r="J11" s="3" t="s">
        <v>57</v>
      </c>
      <c r="K11" s="3" t="s">
        <v>21</v>
      </c>
    </row>
    <row r="12" customFormat="false" ht="23.25" hidden="false" customHeight="true" outlineLevel="0" collapsed="false">
      <c r="A12" s="3" t="s">
        <v>73</v>
      </c>
      <c r="B12" s="4" t="s">
        <v>12</v>
      </c>
      <c r="C12" s="3" t="s">
        <v>74</v>
      </c>
      <c r="D12" s="3" t="s">
        <v>75</v>
      </c>
      <c r="E12" s="3" t="s">
        <v>76</v>
      </c>
      <c r="F12" s="3" t="s">
        <v>77</v>
      </c>
      <c r="G12" s="3" t="s">
        <v>78</v>
      </c>
      <c r="H12" s="5" t="s">
        <v>18</v>
      </c>
      <c r="I12" s="3" t="s">
        <v>33</v>
      </c>
      <c r="J12" s="3" t="s">
        <v>79</v>
      </c>
      <c r="K12" s="3" t="s">
        <v>21</v>
      </c>
    </row>
    <row r="13" customFormat="false" ht="23.25" hidden="false" customHeight="true" outlineLevel="0" collapsed="false">
      <c r="A13" s="3" t="s">
        <v>80</v>
      </c>
      <c r="B13" s="4" t="s">
        <v>12</v>
      </c>
      <c r="C13" s="3" t="s">
        <v>74</v>
      </c>
      <c r="D13" s="3" t="s">
        <v>75</v>
      </c>
      <c r="E13" s="3" t="s">
        <v>81</v>
      </c>
      <c r="F13" s="3" t="s">
        <v>82</v>
      </c>
      <c r="G13" s="3" t="s">
        <v>83</v>
      </c>
      <c r="H13" s="6" t="s">
        <v>32</v>
      </c>
      <c r="I13" s="3" t="s">
        <v>33</v>
      </c>
      <c r="J13" s="3" t="s">
        <v>84</v>
      </c>
      <c r="K13" s="3" t="s">
        <v>21</v>
      </c>
    </row>
    <row r="14" customFormat="false" ht="34.5" hidden="false" customHeight="true" outlineLevel="0" collapsed="false">
      <c r="A14" s="3" t="s">
        <v>85</v>
      </c>
      <c r="B14" s="4" t="s">
        <v>12</v>
      </c>
      <c r="C14" s="3" t="s">
        <v>74</v>
      </c>
      <c r="D14" s="3" t="s">
        <v>43</v>
      </c>
      <c r="E14" s="3" t="s">
        <v>86</v>
      </c>
      <c r="F14" s="3" t="s">
        <v>87</v>
      </c>
      <c r="G14" s="3" t="s">
        <v>88</v>
      </c>
      <c r="H14" s="7" t="s">
        <v>89</v>
      </c>
      <c r="I14" s="3" t="s">
        <v>19</v>
      </c>
      <c r="J14" s="3" t="s">
        <v>90</v>
      </c>
      <c r="K14" s="3" t="s">
        <v>21</v>
      </c>
    </row>
    <row r="15" customFormat="false" ht="34.5" hidden="false" customHeight="true" outlineLevel="0" collapsed="false">
      <c r="A15" s="3" t="s">
        <v>91</v>
      </c>
      <c r="B15" s="4" t="s">
        <v>12</v>
      </c>
      <c r="C15" s="3" t="s">
        <v>74</v>
      </c>
      <c r="D15" s="3" t="s">
        <v>43</v>
      </c>
      <c r="E15" s="3" t="s">
        <v>92</v>
      </c>
      <c r="F15" s="3" t="s">
        <v>93</v>
      </c>
      <c r="G15" s="3" t="s">
        <v>94</v>
      </c>
      <c r="H15" s="7" t="s">
        <v>89</v>
      </c>
      <c r="I15" s="3" t="s">
        <v>33</v>
      </c>
      <c r="J15" s="3" t="s">
        <v>95</v>
      </c>
      <c r="K15" s="3" t="s">
        <v>21</v>
      </c>
    </row>
    <row r="16" customFormat="false" ht="34.5" hidden="false" customHeight="true" outlineLevel="0" collapsed="false">
      <c r="A16" s="3" t="s">
        <v>96</v>
      </c>
      <c r="B16" s="4" t="s">
        <v>12</v>
      </c>
      <c r="C16" s="3" t="s">
        <v>97</v>
      </c>
      <c r="D16" s="3" t="s">
        <v>98</v>
      </c>
      <c r="E16" s="3" t="s">
        <v>99</v>
      </c>
      <c r="F16" s="3" t="s">
        <v>100</v>
      </c>
      <c r="G16" s="3" t="s">
        <v>101</v>
      </c>
      <c r="H16" s="5" t="s">
        <v>18</v>
      </c>
      <c r="I16" s="3" t="s">
        <v>19</v>
      </c>
      <c r="J16" s="3" t="s">
        <v>102</v>
      </c>
      <c r="K16" s="3" t="s">
        <v>21</v>
      </c>
    </row>
    <row r="17" customFormat="false" ht="23.25" hidden="false" customHeight="true" outlineLevel="0" collapsed="false">
      <c r="A17" s="3" t="s">
        <v>103</v>
      </c>
      <c r="B17" s="4" t="s">
        <v>12</v>
      </c>
      <c r="C17" s="3" t="s">
        <v>97</v>
      </c>
      <c r="D17" s="3" t="s">
        <v>98</v>
      </c>
      <c r="E17" s="3" t="s">
        <v>104</v>
      </c>
      <c r="F17" s="3" t="s">
        <v>105</v>
      </c>
      <c r="G17" s="3" t="s">
        <v>106</v>
      </c>
      <c r="H17" s="5" t="s">
        <v>18</v>
      </c>
      <c r="I17" s="3" t="s">
        <v>33</v>
      </c>
      <c r="J17" s="3" t="s">
        <v>107</v>
      </c>
      <c r="K17" s="3" t="s">
        <v>21</v>
      </c>
    </row>
    <row r="18" customFormat="false" ht="23.25" hidden="false" customHeight="true" outlineLevel="0" collapsed="false">
      <c r="A18" s="3" t="s">
        <v>108</v>
      </c>
      <c r="B18" s="4" t="s">
        <v>12</v>
      </c>
      <c r="C18" s="3" t="s">
        <v>97</v>
      </c>
      <c r="D18" s="3" t="s">
        <v>98</v>
      </c>
      <c r="E18" s="3" t="s">
        <v>109</v>
      </c>
      <c r="F18" s="3" t="s">
        <v>110</v>
      </c>
      <c r="G18" s="3" t="s">
        <v>111</v>
      </c>
      <c r="H18" s="5" t="s">
        <v>18</v>
      </c>
      <c r="I18" s="3" t="s">
        <v>40</v>
      </c>
      <c r="J18" s="3" t="s">
        <v>107</v>
      </c>
      <c r="K18" s="3" t="s">
        <v>21</v>
      </c>
    </row>
    <row r="19" customFormat="false" ht="23.25" hidden="false" customHeight="true" outlineLevel="0" collapsed="false">
      <c r="A19" s="3" t="s">
        <v>112</v>
      </c>
      <c r="B19" s="4" t="s">
        <v>12</v>
      </c>
      <c r="C19" s="3" t="s">
        <v>113</v>
      </c>
      <c r="D19" s="3" t="s">
        <v>75</v>
      </c>
      <c r="E19" s="3" t="s">
        <v>114</v>
      </c>
      <c r="F19" s="3" t="s">
        <v>115</v>
      </c>
      <c r="G19" s="3" t="s">
        <v>116</v>
      </c>
      <c r="H19" s="5" t="s">
        <v>18</v>
      </c>
      <c r="I19" s="3" t="s">
        <v>40</v>
      </c>
      <c r="J19" s="3" t="s">
        <v>117</v>
      </c>
      <c r="K19" s="3" t="s">
        <v>21</v>
      </c>
    </row>
    <row r="20" customFormat="false" ht="23.25" hidden="false" customHeight="true" outlineLevel="0" collapsed="false">
      <c r="A20" s="3" t="s">
        <v>118</v>
      </c>
      <c r="B20" s="4" t="s">
        <v>12</v>
      </c>
      <c r="C20" s="3" t="s">
        <v>113</v>
      </c>
      <c r="D20" s="3" t="s">
        <v>75</v>
      </c>
      <c r="E20" s="3" t="s">
        <v>119</v>
      </c>
      <c r="F20" s="3" t="s">
        <v>120</v>
      </c>
      <c r="G20" s="3" t="s">
        <v>121</v>
      </c>
      <c r="H20" s="6" t="s">
        <v>32</v>
      </c>
      <c r="I20" s="3" t="s">
        <v>33</v>
      </c>
      <c r="J20" s="3" t="s">
        <v>122</v>
      </c>
      <c r="K20" s="3" t="s">
        <v>21</v>
      </c>
    </row>
    <row r="21" customFormat="false" ht="23.25" hidden="false" customHeight="true" outlineLevel="0" collapsed="false">
      <c r="A21" s="3" t="s">
        <v>123</v>
      </c>
      <c r="B21" s="4" t="s">
        <v>12</v>
      </c>
      <c r="C21" s="3" t="s">
        <v>113</v>
      </c>
      <c r="D21" s="3" t="s">
        <v>98</v>
      </c>
      <c r="E21" s="3" t="s">
        <v>124</v>
      </c>
      <c r="F21" s="3" t="s">
        <v>125</v>
      </c>
      <c r="G21" s="3" t="s">
        <v>126</v>
      </c>
      <c r="H21" s="5" t="s">
        <v>18</v>
      </c>
      <c r="I21" s="3" t="s">
        <v>40</v>
      </c>
      <c r="J21" s="3" t="s">
        <v>117</v>
      </c>
      <c r="K21" s="3" t="s">
        <v>21</v>
      </c>
    </row>
    <row r="22" customFormat="false" ht="34.5" hidden="false" customHeight="true" outlineLevel="0" collapsed="false">
      <c r="A22" s="3" t="s">
        <v>127</v>
      </c>
      <c r="B22" s="8" t="s">
        <v>128</v>
      </c>
      <c r="C22" s="3" t="s">
        <v>129</v>
      </c>
      <c r="D22" s="3" t="s">
        <v>130</v>
      </c>
      <c r="E22" s="3" t="s">
        <v>131</v>
      </c>
      <c r="F22" s="3" t="s">
        <v>132</v>
      </c>
      <c r="G22" s="3" t="s">
        <v>133</v>
      </c>
      <c r="H22" s="5" t="s">
        <v>18</v>
      </c>
      <c r="I22" s="3" t="s">
        <v>134</v>
      </c>
      <c r="J22" s="3" t="s">
        <v>135</v>
      </c>
      <c r="K22" s="3" t="s">
        <v>136</v>
      </c>
    </row>
    <row r="23" customFormat="false" ht="34.5" hidden="false" customHeight="true" outlineLevel="0" collapsed="false">
      <c r="A23" s="3" t="s">
        <v>137</v>
      </c>
      <c r="B23" s="8" t="s">
        <v>128</v>
      </c>
      <c r="C23" s="3" t="s">
        <v>74</v>
      </c>
      <c r="D23" s="3" t="s">
        <v>130</v>
      </c>
      <c r="E23" s="3" t="s">
        <v>138</v>
      </c>
      <c r="F23" s="3" t="s">
        <v>139</v>
      </c>
      <c r="G23" s="3" t="s">
        <v>140</v>
      </c>
      <c r="H23" s="6" t="s">
        <v>32</v>
      </c>
      <c r="I23" s="3" t="s">
        <v>19</v>
      </c>
      <c r="J23" s="3" t="s">
        <v>141</v>
      </c>
      <c r="K23" s="3" t="s">
        <v>136</v>
      </c>
    </row>
    <row r="24" customFormat="false" ht="34.5" hidden="false" customHeight="true" outlineLevel="0" collapsed="false">
      <c r="A24" s="3" t="s">
        <v>142</v>
      </c>
      <c r="B24" s="8" t="s">
        <v>128</v>
      </c>
      <c r="C24" s="3" t="s">
        <v>53</v>
      </c>
      <c r="D24" s="3" t="s">
        <v>143</v>
      </c>
      <c r="E24" s="3" t="s">
        <v>144</v>
      </c>
      <c r="F24" s="3" t="s">
        <v>145</v>
      </c>
      <c r="G24" s="3" t="s">
        <v>146</v>
      </c>
      <c r="H24" s="5" t="s">
        <v>18</v>
      </c>
      <c r="I24" s="3" t="s">
        <v>134</v>
      </c>
      <c r="J24" s="3" t="s">
        <v>147</v>
      </c>
      <c r="K24" s="3" t="s">
        <v>136</v>
      </c>
    </row>
    <row r="25" customFormat="false" ht="34.5" hidden="false" customHeight="true" outlineLevel="0" collapsed="false">
      <c r="A25" s="3" t="s">
        <v>148</v>
      </c>
      <c r="B25" s="8" t="s">
        <v>128</v>
      </c>
      <c r="C25" s="3" t="s">
        <v>13</v>
      </c>
      <c r="D25" s="3" t="s">
        <v>143</v>
      </c>
      <c r="E25" s="3" t="s">
        <v>149</v>
      </c>
      <c r="F25" s="3" t="s">
        <v>150</v>
      </c>
      <c r="G25" s="3" t="s">
        <v>151</v>
      </c>
      <c r="H25" s="6" t="s">
        <v>32</v>
      </c>
      <c r="I25" s="3" t="s">
        <v>33</v>
      </c>
      <c r="J25" s="3" t="s">
        <v>152</v>
      </c>
      <c r="K25" s="3" t="s">
        <v>136</v>
      </c>
    </row>
    <row r="26" customFormat="false" ht="34.5" hidden="false" customHeight="true" outlineLevel="0" collapsed="false">
      <c r="A26" s="3" t="s">
        <v>153</v>
      </c>
      <c r="B26" s="8" t="s">
        <v>128</v>
      </c>
      <c r="C26" s="3" t="s">
        <v>97</v>
      </c>
      <c r="D26" s="3" t="s">
        <v>154</v>
      </c>
      <c r="E26" s="3" t="s">
        <v>155</v>
      </c>
      <c r="F26" s="3" t="s">
        <v>156</v>
      </c>
      <c r="G26" s="3" t="s">
        <v>157</v>
      </c>
      <c r="H26" s="7" t="s">
        <v>89</v>
      </c>
      <c r="I26" s="3" t="s">
        <v>19</v>
      </c>
      <c r="J26" s="3" t="s">
        <v>158</v>
      </c>
      <c r="K26" s="3" t="s">
        <v>136</v>
      </c>
    </row>
    <row r="27" customFormat="false" ht="23.25" hidden="false" customHeight="true" outlineLevel="0" collapsed="false">
      <c r="A27" s="3" t="s">
        <v>159</v>
      </c>
      <c r="B27" s="8" t="s">
        <v>128</v>
      </c>
      <c r="C27" s="3" t="s">
        <v>113</v>
      </c>
      <c r="D27" s="3" t="s">
        <v>154</v>
      </c>
      <c r="E27" s="3" t="s">
        <v>160</v>
      </c>
      <c r="F27" s="3" t="s">
        <v>161</v>
      </c>
      <c r="G27" s="3" t="s">
        <v>162</v>
      </c>
      <c r="H27" s="7" t="s">
        <v>89</v>
      </c>
      <c r="I27" s="3" t="s">
        <v>33</v>
      </c>
      <c r="J27" s="3" t="s">
        <v>163</v>
      </c>
      <c r="K27" s="3" t="s">
        <v>136</v>
      </c>
    </row>
    <row r="28" customFormat="false" ht="34.5" hidden="false" customHeight="true" outlineLevel="0" collapsed="false">
      <c r="A28" s="3" t="s">
        <v>164</v>
      </c>
      <c r="B28" s="8" t="s">
        <v>128</v>
      </c>
      <c r="C28" s="3" t="s">
        <v>74</v>
      </c>
      <c r="D28" s="3" t="s">
        <v>165</v>
      </c>
      <c r="E28" s="3" t="s">
        <v>166</v>
      </c>
      <c r="F28" s="3" t="s">
        <v>167</v>
      </c>
      <c r="G28" s="3" t="s">
        <v>168</v>
      </c>
      <c r="H28" s="6" t="s">
        <v>32</v>
      </c>
      <c r="I28" s="3" t="s">
        <v>134</v>
      </c>
      <c r="J28" s="3" t="s">
        <v>141</v>
      </c>
      <c r="K28" s="3" t="s">
        <v>136</v>
      </c>
    </row>
    <row r="29" customFormat="false" ht="34.5" hidden="false" customHeight="true" outlineLevel="0" collapsed="false">
      <c r="A29" s="3" t="s">
        <v>169</v>
      </c>
      <c r="B29" s="9" t="s">
        <v>170</v>
      </c>
      <c r="C29" s="3" t="s">
        <v>171</v>
      </c>
      <c r="D29" s="3" t="s">
        <v>172</v>
      </c>
      <c r="E29" s="3" t="s">
        <v>173</v>
      </c>
      <c r="F29" s="3" t="s">
        <v>174</v>
      </c>
      <c r="G29" s="3" t="s">
        <v>175</v>
      </c>
      <c r="H29" s="5" t="s">
        <v>18</v>
      </c>
      <c r="I29" s="3" t="s">
        <v>134</v>
      </c>
      <c r="J29" s="3" t="s">
        <v>176</v>
      </c>
      <c r="K29" s="3" t="s">
        <v>136</v>
      </c>
    </row>
    <row r="30" customFormat="false" ht="34.5" hidden="false" customHeight="true" outlineLevel="0" collapsed="false">
      <c r="A30" s="3" t="s">
        <v>177</v>
      </c>
      <c r="B30" s="9" t="s">
        <v>170</v>
      </c>
      <c r="C30" s="3" t="s">
        <v>171</v>
      </c>
      <c r="D30" s="3" t="s">
        <v>172</v>
      </c>
      <c r="E30" s="3" t="s">
        <v>178</v>
      </c>
      <c r="F30" s="3" t="s">
        <v>179</v>
      </c>
      <c r="G30" s="3" t="s">
        <v>180</v>
      </c>
      <c r="H30" s="5" t="s">
        <v>18</v>
      </c>
      <c r="I30" s="3" t="s">
        <v>19</v>
      </c>
      <c r="J30" s="3" t="s">
        <v>176</v>
      </c>
      <c r="K30" s="3" t="s">
        <v>136</v>
      </c>
    </row>
    <row r="31" customFormat="false" ht="34.5" hidden="false" customHeight="true" outlineLevel="0" collapsed="false">
      <c r="A31" s="3" t="s">
        <v>181</v>
      </c>
      <c r="B31" s="9" t="s">
        <v>170</v>
      </c>
      <c r="C31" s="3" t="s">
        <v>171</v>
      </c>
      <c r="D31" s="3" t="s">
        <v>182</v>
      </c>
      <c r="E31" s="3" t="s">
        <v>183</v>
      </c>
      <c r="F31" s="3" t="s">
        <v>184</v>
      </c>
      <c r="G31" s="3" t="s">
        <v>185</v>
      </c>
      <c r="H31" s="7" t="s">
        <v>89</v>
      </c>
      <c r="I31" s="3" t="s">
        <v>134</v>
      </c>
      <c r="J31" s="3" t="s">
        <v>186</v>
      </c>
      <c r="K31" s="3" t="s">
        <v>136</v>
      </c>
    </row>
    <row r="32" customFormat="false" ht="34.5" hidden="false" customHeight="true" outlineLevel="0" collapsed="false">
      <c r="A32" s="3" t="s">
        <v>187</v>
      </c>
      <c r="B32" s="9" t="s">
        <v>170</v>
      </c>
      <c r="C32" s="3" t="s">
        <v>171</v>
      </c>
      <c r="D32" s="3" t="s">
        <v>182</v>
      </c>
      <c r="E32" s="3" t="s">
        <v>188</v>
      </c>
      <c r="F32" s="3" t="s">
        <v>189</v>
      </c>
      <c r="G32" s="3" t="s">
        <v>190</v>
      </c>
      <c r="H32" s="6" t="s">
        <v>32</v>
      </c>
      <c r="I32" s="3" t="s">
        <v>134</v>
      </c>
      <c r="J32" s="3" t="s">
        <v>191</v>
      </c>
      <c r="K32" s="3" t="s">
        <v>136</v>
      </c>
    </row>
    <row r="33" customFormat="false" ht="34.5" hidden="false" customHeight="true" outlineLevel="0" collapsed="false">
      <c r="A33" s="3" t="s">
        <v>192</v>
      </c>
      <c r="B33" s="9" t="s">
        <v>170</v>
      </c>
      <c r="C33" s="3" t="s">
        <v>171</v>
      </c>
      <c r="D33" s="3" t="s">
        <v>193</v>
      </c>
      <c r="E33" s="3" t="s">
        <v>194</v>
      </c>
      <c r="F33" s="3" t="s">
        <v>195</v>
      </c>
      <c r="G33" s="3" t="s">
        <v>196</v>
      </c>
      <c r="H33" s="7" t="s">
        <v>89</v>
      </c>
      <c r="I33" s="3" t="s">
        <v>19</v>
      </c>
      <c r="J33" s="3" t="s">
        <v>186</v>
      </c>
      <c r="K33" s="3" t="s">
        <v>136</v>
      </c>
    </row>
    <row r="34" customFormat="false" ht="23.25" hidden="false" customHeight="true" outlineLevel="0" collapsed="false">
      <c r="A34" s="3" t="s">
        <v>197</v>
      </c>
      <c r="B34" s="9" t="s">
        <v>170</v>
      </c>
      <c r="C34" s="3" t="s">
        <v>113</v>
      </c>
      <c r="D34" s="3" t="s">
        <v>193</v>
      </c>
      <c r="E34" s="3" t="s">
        <v>198</v>
      </c>
      <c r="F34" s="3" t="s">
        <v>199</v>
      </c>
      <c r="G34" s="3" t="s">
        <v>200</v>
      </c>
      <c r="H34" s="6" t="s">
        <v>32</v>
      </c>
      <c r="I34" s="3" t="s">
        <v>33</v>
      </c>
      <c r="J34" s="3" t="s">
        <v>201</v>
      </c>
      <c r="K34" s="3" t="s">
        <v>136</v>
      </c>
    </row>
    <row r="35" customFormat="false" ht="34.5" hidden="false" customHeight="true" outlineLevel="0" collapsed="false">
      <c r="A35" s="3" t="s">
        <v>202</v>
      </c>
      <c r="B35" s="4" t="s">
        <v>12</v>
      </c>
      <c r="C35" s="3" t="s">
        <v>13</v>
      </c>
      <c r="D35" s="3" t="s">
        <v>23</v>
      </c>
      <c r="E35" s="3" t="s">
        <v>203</v>
      </c>
      <c r="F35" s="3" t="s">
        <v>204</v>
      </c>
      <c r="G35" s="3" t="s">
        <v>205</v>
      </c>
      <c r="H35" s="6" t="s">
        <v>32</v>
      </c>
      <c r="I35" s="3" t="s">
        <v>33</v>
      </c>
      <c r="J35" s="3" t="s">
        <v>34</v>
      </c>
      <c r="K35" s="3" t="s">
        <v>136</v>
      </c>
    </row>
    <row r="36" customFormat="false" ht="45.75" hidden="false" customHeight="true" outlineLevel="0" collapsed="false">
      <c r="A36" s="3" t="s">
        <v>206</v>
      </c>
      <c r="B36" s="4" t="s">
        <v>12</v>
      </c>
      <c r="C36" s="3" t="s">
        <v>13</v>
      </c>
      <c r="D36" s="3" t="s">
        <v>23</v>
      </c>
      <c r="E36" s="3" t="s">
        <v>207</v>
      </c>
      <c r="F36" s="3" t="s">
        <v>208</v>
      </c>
      <c r="G36" s="3" t="s">
        <v>209</v>
      </c>
      <c r="H36" s="6" t="s">
        <v>32</v>
      </c>
      <c r="I36" s="3" t="s">
        <v>19</v>
      </c>
      <c r="J36" s="3" t="s">
        <v>34</v>
      </c>
      <c r="K36" s="3" t="s">
        <v>136</v>
      </c>
    </row>
    <row r="37" customFormat="false" ht="57" hidden="false" customHeight="true" outlineLevel="0" collapsed="false">
      <c r="A37" s="3" t="s">
        <v>210</v>
      </c>
      <c r="B37" s="4" t="s">
        <v>12</v>
      </c>
      <c r="C37" s="3" t="s">
        <v>97</v>
      </c>
      <c r="D37" s="3" t="s">
        <v>75</v>
      </c>
      <c r="E37" s="3" t="s">
        <v>211</v>
      </c>
      <c r="F37" s="3" t="s">
        <v>212</v>
      </c>
      <c r="G37" s="3" t="s">
        <v>213</v>
      </c>
      <c r="H37" s="6" t="s">
        <v>32</v>
      </c>
      <c r="I37" s="3" t="s">
        <v>33</v>
      </c>
      <c r="J37" s="3" t="s">
        <v>214</v>
      </c>
      <c r="K37" s="3" t="s">
        <v>21</v>
      </c>
    </row>
    <row r="38" customFormat="false" ht="68.25" hidden="false" customHeight="true" outlineLevel="0" collapsed="false">
      <c r="A38" s="3" t="s">
        <v>215</v>
      </c>
      <c r="B38" s="9" t="s">
        <v>170</v>
      </c>
      <c r="C38" s="3" t="s">
        <v>171</v>
      </c>
      <c r="D38" s="3" t="s">
        <v>193</v>
      </c>
      <c r="E38" s="3" t="s">
        <v>216</v>
      </c>
      <c r="F38" s="3" t="s">
        <v>217</v>
      </c>
      <c r="G38" s="3" t="s">
        <v>218</v>
      </c>
      <c r="H38" s="7" t="s">
        <v>89</v>
      </c>
      <c r="I38" s="3" t="s">
        <v>134</v>
      </c>
      <c r="J38" s="3" t="s">
        <v>186</v>
      </c>
      <c r="K38" s="3" t="s">
        <v>136</v>
      </c>
    </row>
    <row r="39" customFormat="false" ht="90.75" hidden="false" customHeight="true" outlineLevel="0" collapsed="false">
      <c r="A39" s="3" t="s">
        <v>219</v>
      </c>
      <c r="B39" s="4" t="s">
        <v>12</v>
      </c>
      <c r="C39" s="3" t="s">
        <v>53</v>
      </c>
      <c r="D39" s="3" t="s">
        <v>59</v>
      </c>
      <c r="E39" s="3" t="s">
        <v>220</v>
      </c>
      <c r="F39" s="3" t="s">
        <v>221</v>
      </c>
      <c r="G39" s="3" t="s">
        <v>222</v>
      </c>
      <c r="H39" s="6" t="s">
        <v>32</v>
      </c>
      <c r="I39" s="3" t="s">
        <v>19</v>
      </c>
      <c r="J39" s="3" t="s">
        <v>223</v>
      </c>
      <c r="K39" s="3" t="s">
        <v>21</v>
      </c>
    </row>
    <row r="40" customFormat="false" ht="102" hidden="false" customHeight="true" outlineLevel="0" collapsed="false">
      <c r="A40" s="3" t="s">
        <v>224</v>
      </c>
      <c r="B40" s="4" t="s">
        <v>12</v>
      </c>
      <c r="C40" s="3" t="s">
        <v>53</v>
      </c>
      <c r="D40" s="3" t="s">
        <v>59</v>
      </c>
      <c r="E40" s="3" t="s">
        <v>225</v>
      </c>
      <c r="F40" s="3" t="s">
        <v>226</v>
      </c>
      <c r="G40" s="3" t="s">
        <v>227</v>
      </c>
      <c r="H40" s="6" t="s">
        <v>32</v>
      </c>
      <c r="I40" s="3" t="s">
        <v>33</v>
      </c>
      <c r="J40" s="3" t="s">
        <v>223</v>
      </c>
      <c r="K40" s="3" t="s">
        <v>21</v>
      </c>
    </row>
    <row r="41" customFormat="false" ht="113.25" hidden="false" customHeight="true" outlineLevel="0" collapsed="false">
      <c r="A41" s="3" t="s">
        <v>228</v>
      </c>
      <c r="B41" s="4" t="s">
        <v>12</v>
      </c>
      <c r="C41" s="3" t="s">
        <v>53</v>
      </c>
      <c r="D41" s="3" t="s">
        <v>59</v>
      </c>
      <c r="E41" s="3" t="s">
        <v>229</v>
      </c>
      <c r="F41" s="3" t="s">
        <v>230</v>
      </c>
      <c r="G41" s="3" t="s">
        <v>231</v>
      </c>
      <c r="H41" s="6" t="s">
        <v>32</v>
      </c>
      <c r="I41" s="3" t="s">
        <v>19</v>
      </c>
      <c r="J41" s="3" t="s">
        <v>223</v>
      </c>
      <c r="K41" s="3" t="s">
        <v>136</v>
      </c>
    </row>
  </sheetData>
  <autoFilter ref="A1:K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55"/>
    <col collapsed="false" customWidth="true" hidden="false" outlineLevel="0" max="4" min="4" style="1" width="14"/>
    <col collapsed="false" customWidth="true" hidden="false" outlineLevel="0" max="5" min="5" style="1" width="18"/>
  </cols>
  <sheetData>
    <row r="1" customFormat="false" ht="15" hidden="false" customHeight="true" outlineLevel="0" collapsed="false">
      <c r="A1" s="2" t="s">
        <v>3</v>
      </c>
      <c r="B1" s="2" t="s">
        <v>1</v>
      </c>
      <c r="C1" s="2" t="s">
        <v>232</v>
      </c>
      <c r="D1" s="2" t="s">
        <v>233</v>
      </c>
      <c r="E1" s="2" t="s">
        <v>234</v>
      </c>
    </row>
    <row r="2" customFormat="false" ht="15" hidden="false" customHeight="true" outlineLevel="0" collapsed="false">
      <c r="A2" s="3" t="s">
        <v>14</v>
      </c>
      <c r="B2" s="4" t="s">
        <v>12</v>
      </c>
      <c r="C2" s="3" t="s">
        <v>235</v>
      </c>
      <c r="D2" s="3" t="n">
        <f aca="false">COUNTIF(Backlog!D:D,A2)</f>
        <v>1</v>
      </c>
      <c r="E2" s="3" t="n">
        <f aca="false">SUMIF(Backlog!D:D,A2,Backlog!I:I)</f>
        <v>0</v>
      </c>
    </row>
    <row r="3" customFormat="false" ht="15" hidden="false" customHeight="true" outlineLevel="0" collapsed="false">
      <c r="A3" s="3" t="s">
        <v>23</v>
      </c>
      <c r="B3" s="4" t="s">
        <v>12</v>
      </c>
      <c r="C3" s="3" t="s">
        <v>236</v>
      </c>
      <c r="D3" s="3" t="n">
        <f aca="false">COUNTIF(Backlog!D:D,A3)</f>
        <v>5</v>
      </c>
      <c r="E3" s="3" t="n">
        <f aca="false">SUMIF(Backlog!D:D,A3,Backlog!I:I)</f>
        <v>0</v>
      </c>
    </row>
    <row r="4" customFormat="false" ht="15" hidden="false" customHeight="true" outlineLevel="0" collapsed="false">
      <c r="A4" s="3" t="s">
        <v>28</v>
      </c>
      <c r="B4" s="4" t="s">
        <v>12</v>
      </c>
      <c r="C4" s="3" t="s">
        <v>237</v>
      </c>
      <c r="D4" s="3" t="n">
        <f aca="false">COUNTIF(Backlog!D:D,A4)</f>
        <v>2</v>
      </c>
      <c r="E4" s="3" t="n">
        <f aca="false">SUMIF(Backlog!D:D,A4,Backlog!I:I)</f>
        <v>0</v>
      </c>
    </row>
    <row r="5" customFormat="false" ht="15" hidden="false" customHeight="true" outlineLevel="0" collapsed="false">
      <c r="A5" s="3" t="s">
        <v>65</v>
      </c>
      <c r="B5" s="4" t="s">
        <v>12</v>
      </c>
      <c r="C5" s="3" t="s">
        <v>238</v>
      </c>
      <c r="D5" s="3" t="n">
        <f aca="false">COUNTIF(Backlog!D:D,A5)</f>
        <v>2</v>
      </c>
      <c r="E5" s="3" t="n">
        <f aca="false">SUMIF(Backlog!D:D,A5,Backlog!I:I)</f>
        <v>0</v>
      </c>
    </row>
    <row r="6" customFormat="false" ht="15" hidden="false" customHeight="true" outlineLevel="0" collapsed="false">
      <c r="A6" s="3" t="s">
        <v>98</v>
      </c>
      <c r="B6" s="4" t="s">
        <v>12</v>
      </c>
      <c r="C6" s="3" t="s">
        <v>239</v>
      </c>
      <c r="D6" s="3" t="n">
        <f aca="false">COUNTIF(Backlog!D:D,A6)</f>
        <v>4</v>
      </c>
      <c r="E6" s="3" t="n">
        <f aca="false">SUMIF(Backlog!D:D,A6,Backlog!I:I)</f>
        <v>0</v>
      </c>
    </row>
    <row r="7" customFormat="false" ht="15" hidden="false" customHeight="true" outlineLevel="0" collapsed="false">
      <c r="A7" s="3" t="s">
        <v>75</v>
      </c>
      <c r="B7" s="4" t="s">
        <v>12</v>
      </c>
      <c r="C7" s="3" t="s">
        <v>240</v>
      </c>
      <c r="D7" s="3" t="n">
        <f aca="false">COUNTIF(Backlog!D:D,A7)</f>
        <v>5</v>
      </c>
      <c r="E7" s="3" t="n">
        <f aca="false">SUMIF(Backlog!D:D,A7,Backlog!I:I)</f>
        <v>0</v>
      </c>
    </row>
    <row r="8" customFormat="false" ht="15" hidden="false" customHeight="true" outlineLevel="0" collapsed="false">
      <c r="A8" s="3" t="s">
        <v>59</v>
      </c>
      <c r="B8" s="4" t="s">
        <v>12</v>
      </c>
      <c r="C8" s="3" t="s">
        <v>241</v>
      </c>
      <c r="D8" s="3" t="n">
        <f aca="false">COUNTIF(Backlog!D:D,A8)</f>
        <v>4</v>
      </c>
      <c r="E8" s="3" t="n">
        <f aca="false">SUMIF(Backlog!D:D,A8,Backlog!I:I)</f>
        <v>0</v>
      </c>
    </row>
    <row r="9" customFormat="false" ht="15" hidden="false" customHeight="true" outlineLevel="0" collapsed="false">
      <c r="A9" s="3" t="s">
        <v>43</v>
      </c>
      <c r="B9" s="4" t="s">
        <v>12</v>
      </c>
      <c r="C9" s="3" t="s">
        <v>242</v>
      </c>
      <c r="D9" s="3" t="n">
        <f aca="false">COUNTIF(Backlog!D:D,A9)</f>
        <v>3</v>
      </c>
      <c r="E9" s="3" t="n">
        <f aca="false">SUMIF(Backlog!D:D,A9,Backlog!I:I)</f>
        <v>0</v>
      </c>
    </row>
    <row r="10" customFormat="false" ht="15" hidden="false" customHeight="true" outlineLevel="0" collapsed="false">
      <c r="A10" s="3" t="s">
        <v>130</v>
      </c>
      <c r="B10" s="8" t="s">
        <v>128</v>
      </c>
      <c r="C10" s="3" t="s">
        <v>243</v>
      </c>
      <c r="D10" s="3" t="n">
        <f aca="false">COUNTIF(Backlog!D:D,A10)</f>
        <v>2</v>
      </c>
      <c r="E10" s="3" t="n">
        <f aca="false">SUMIF(Backlog!D:D,A10,Backlog!I:I)</f>
        <v>0</v>
      </c>
    </row>
    <row r="11" customFormat="false" ht="15" hidden="false" customHeight="true" outlineLevel="0" collapsed="false">
      <c r="A11" s="3" t="s">
        <v>143</v>
      </c>
      <c r="B11" s="8" t="s">
        <v>128</v>
      </c>
      <c r="C11" s="3" t="s">
        <v>244</v>
      </c>
      <c r="D11" s="3" t="n">
        <f aca="false">COUNTIF(Backlog!D:D,A11)</f>
        <v>2</v>
      </c>
      <c r="E11" s="3" t="n">
        <f aca="false">SUMIF(Backlog!D:D,A11,Backlog!I:I)</f>
        <v>0</v>
      </c>
    </row>
    <row r="12" customFormat="false" ht="15" hidden="false" customHeight="true" outlineLevel="0" collapsed="false">
      <c r="A12" s="3" t="s">
        <v>154</v>
      </c>
      <c r="B12" s="8" t="s">
        <v>128</v>
      </c>
      <c r="C12" s="3" t="s">
        <v>245</v>
      </c>
      <c r="D12" s="3" t="n">
        <f aca="false">COUNTIF(Backlog!D:D,A12)</f>
        <v>2</v>
      </c>
      <c r="E12" s="3" t="n">
        <f aca="false">SUMIF(Backlog!D:D,A12,Backlog!I:I)</f>
        <v>0</v>
      </c>
    </row>
    <row r="13" customFormat="false" ht="15" hidden="false" customHeight="true" outlineLevel="0" collapsed="false">
      <c r="A13" s="3" t="s">
        <v>165</v>
      </c>
      <c r="B13" s="8" t="s">
        <v>128</v>
      </c>
      <c r="C13" s="3" t="s">
        <v>166</v>
      </c>
      <c r="D13" s="3" t="n">
        <f aca="false">COUNTIF(Backlog!D:D,A13)</f>
        <v>1</v>
      </c>
      <c r="E13" s="3" t="n">
        <f aca="false">SUMIF(Backlog!D:D,A13,Backlog!I:I)</f>
        <v>0</v>
      </c>
    </row>
    <row r="14" customFormat="false" ht="23.25" hidden="false" customHeight="true" outlineLevel="0" collapsed="false">
      <c r="A14" s="3" t="s">
        <v>172</v>
      </c>
      <c r="B14" s="9" t="s">
        <v>170</v>
      </c>
      <c r="C14" s="3" t="s">
        <v>246</v>
      </c>
      <c r="D14" s="3" t="n">
        <f aca="false">COUNTIF(Backlog!D:D,A14)</f>
        <v>2</v>
      </c>
      <c r="E14" s="3" t="n">
        <f aca="false">SUMIF(Backlog!D:D,A14,Backlog!I:I)</f>
        <v>0</v>
      </c>
    </row>
    <row r="15" customFormat="false" ht="23.25" hidden="false" customHeight="true" outlineLevel="0" collapsed="false">
      <c r="A15" s="3" t="s">
        <v>182</v>
      </c>
      <c r="B15" s="9" t="s">
        <v>170</v>
      </c>
      <c r="C15" s="3" t="s">
        <v>247</v>
      </c>
      <c r="D15" s="3" t="n">
        <f aca="false">COUNTIF(Backlog!D:D,A15)</f>
        <v>2</v>
      </c>
      <c r="E15" s="3" t="n">
        <f aca="false">SUMIF(Backlog!D:D,A15,Backlog!I:I)</f>
        <v>0</v>
      </c>
    </row>
    <row r="16" customFormat="false" ht="23.25" hidden="false" customHeight="true" outlineLevel="0" collapsed="false">
      <c r="A16" s="3" t="s">
        <v>193</v>
      </c>
      <c r="B16" s="9" t="s">
        <v>170</v>
      </c>
      <c r="C16" s="3" t="s">
        <v>248</v>
      </c>
      <c r="D16" s="3" t="n">
        <f aca="false">COUNTIF(Backlog!D:D,A16)</f>
        <v>3</v>
      </c>
      <c r="E16" s="3" t="n">
        <f aca="false">SUMIF(Backlog!D:D,A16,Backlog!I:I)</f>
        <v>0</v>
      </c>
    </row>
    <row r="17" customFormat="false" ht="15" hidden="false" customHeight="true" outlineLevel="0" collapsed="false">
      <c r="A17" s="10" t="s">
        <v>249</v>
      </c>
      <c r="B17" s="3"/>
      <c r="C17" s="3"/>
      <c r="D17" s="10" t="n">
        <f aca="false">SUM(D2:D16)</f>
        <v>40</v>
      </c>
      <c r="E17" s="10" t="n">
        <f aca="false">SUM(E2:E16)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6" min="2" style="1" width="15"/>
  </cols>
  <sheetData>
    <row r="1" customFormat="false" ht="23.25" hidden="false" customHeight="true" outlineLevel="0" collapsed="false">
      <c r="A1" s="2" t="s">
        <v>1</v>
      </c>
      <c r="B1" s="2" t="s">
        <v>233</v>
      </c>
      <c r="C1" s="2" t="s">
        <v>234</v>
      </c>
      <c r="D1" s="2" t="s">
        <v>18</v>
      </c>
      <c r="E1" s="2" t="s">
        <v>32</v>
      </c>
      <c r="F1" s="2" t="s">
        <v>89</v>
      </c>
    </row>
    <row r="2" customFormat="false" ht="15" hidden="false" customHeight="true" outlineLevel="0" collapsed="false">
      <c r="A2" s="4" t="s">
        <v>12</v>
      </c>
      <c r="B2" s="3" t="n">
        <f aca="false">COUNTIF(Backlog!B:B,A2)</f>
        <v>26</v>
      </c>
      <c r="C2" s="3" t="n">
        <f aca="false">SUMIF(Backlog!B:B,A2,Backlog!I:I)</f>
        <v>0</v>
      </c>
      <c r="D2" s="3" t="n">
        <f aca="false">COUNTIFS(Backlog!B:B,A2,Backlog!H:H,"Must")</f>
        <v>13</v>
      </c>
      <c r="E2" s="3" t="n">
        <f aca="false">COUNTIFS(Backlog!B:B,A2,Backlog!H:H,"Should")</f>
        <v>11</v>
      </c>
      <c r="F2" s="3" t="n">
        <f aca="false">COUNTIFS(Backlog!B:B,A2,Backlog!H:H,"Could")</f>
        <v>2</v>
      </c>
    </row>
    <row r="3" customFormat="false" ht="15" hidden="false" customHeight="true" outlineLevel="0" collapsed="false">
      <c r="A3" s="8" t="s">
        <v>128</v>
      </c>
      <c r="B3" s="3" t="n">
        <f aca="false">COUNTIF(Backlog!B:B,A3)</f>
        <v>7</v>
      </c>
      <c r="C3" s="3" t="n">
        <f aca="false">SUMIF(Backlog!B:B,A3,Backlog!I:I)</f>
        <v>0</v>
      </c>
      <c r="D3" s="3" t="n">
        <f aca="false">COUNTIFS(Backlog!B:B,A3,Backlog!H:H,"Must")</f>
        <v>2</v>
      </c>
      <c r="E3" s="3" t="n">
        <f aca="false">COUNTIFS(Backlog!B:B,A3,Backlog!H:H,"Should")</f>
        <v>3</v>
      </c>
      <c r="F3" s="3" t="n">
        <f aca="false">COUNTIFS(Backlog!B:B,A3,Backlog!H:H,"Could")</f>
        <v>2</v>
      </c>
    </row>
    <row r="4" customFormat="false" ht="15" hidden="false" customHeight="true" outlineLevel="0" collapsed="false">
      <c r="A4" s="9" t="s">
        <v>170</v>
      </c>
      <c r="B4" s="3" t="n">
        <f aca="false">COUNTIF(Backlog!B:B,A4)</f>
        <v>7</v>
      </c>
      <c r="C4" s="3" t="n">
        <f aca="false">SUMIF(Backlog!B:B,A4,Backlog!I:I)</f>
        <v>0</v>
      </c>
      <c r="D4" s="3" t="n">
        <f aca="false">COUNTIFS(Backlog!B:B,A4,Backlog!H:H,"Must")</f>
        <v>2</v>
      </c>
      <c r="E4" s="3" t="n">
        <f aca="false">COUNTIFS(Backlog!B:B,A4,Backlog!H:H,"Should")</f>
        <v>2</v>
      </c>
      <c r="F4" s="3" t="n">
        <f aca="false">COUNTIFS(Backlog!B:B,A4,Backlog!H:H,"Could")</f>
        <v>3</v>
      </c>
    </row>
    <row r="5" customFormat="false" ht="15" hidden="false" customHeight="true" outlineLevel="0" collapsed="false">
      <c r="A5" s="10" t="s">
        <v>249</v>
      </c>
      <c r="B5" s="10" t="n">
        <f aca="false">SUM(B2:B4)</f>
        <v>40</v>
      </c>
      <c r="C5" s="10" t="n">
        <f aca="false">SUM(C2:C4)</f>
        <v>0</v>
      </c>
      <c r="D5" s="10" t="n">
        <f aca="false">SUM(D2:D4)</f>
        <v>17</v>
      </c>
      <c r="E5" s="10" t="n">
        <f aca="false">SUM(E2:E4)</f>
        <v>16</v>
      </c>
      <c r="F5" s="10" t="n">
        <f aca="false">SUM(F2:F4)</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2026-07-04T12:24:37Z</dcterms:created>
  <dc:creator>openpyxl</dc:creator>
  <dc:description/>
  <dc:language>en-US</dc:language>
  <cp:lastModifiedBy/>
  <dcterms:modified xsi:type="dcterms:W3CDTF">2026-07-04T22:36:08Z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