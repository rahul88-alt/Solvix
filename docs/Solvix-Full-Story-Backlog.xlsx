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acklog" sheetId="1" state="visible" r:id="rId3"/>
    <sheet name="Sprint Overview" sheetId="2" state="visible" r:id="rId4"/>
    <sheet name="Phase Overview" sheetId="3" state="visible" r:id="rId5"/>
  </sheets>
  <definedNames>
    <definedName function="false" hidden="true" localSheetId="0" name="_xlnm._FilterDatabase" vbProcedure="false">Backlog!$A$1:$K$34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<sst xmlns="http://schemas.openxmlformats.org/spreadsheetml/2006/main" count="435" uniqueCount="219">
  <si>
    <t xml:space="preserve">ID</t>
  </si>
  <si>
    <t xml:space="preserve">Phase</t>
  </si>
  <si>
    <t xml:space="preserve">Epic</t>
  </si>
  <si>
    <t xml:space="preserve">Sprint</t>
  </si>
  <si>
    <t xml:space="preserve">Title (GitHub issue title)</t>
  </si>
  <si>
    <t xml:space="preserve">User Story</t>
  </si>
  <si>
    <t xml:space="preserve">Acceptance Criteria</t>
  </si>
  <si>
    <t xml:space="preserve">Priority (MoSCoW)</t>
  </si>
  <si>
    <t xml:space="preserve">Story Points</t>
  </si>
  <si>
    <t xml:space="preserve">Labels</t>
  </si>
  <si>
    <t xml:space="preserve">Status</t>
  </si>
  <si>
    <t xml:space="preserve">SLX-A1</t>
  </si>
  <si>
    <t xml:space="preserve">Phase 1: MVP</t>
  </si>
  <si>
    <t xml:space="preserve">A: Repository Understanding</t>
  </si>
  <si>
    <t xml:space="preserve">Sprint 1</t>
  </si>
  <si>
    <t xml:space="preserve">Index the repository</t>
  </si>
  <si>
    <t xml:space="preserve">As a developer, I want the agent to index my repository, so that it can retrieve relevant code without needing the entire codebase in context.</t>
  </si>
  <si>
    <t xml:space="preserve">Given a repo path, the system builds a searchable index (file + symbol + embedding based) within a reasonable time for repos up to X files.</t>
  </si>
  <si>
    <t xml:space="preserve">Must</t>
  </si>
  <si>
    <t xml:space="preserve">5</t>
  </si>
  <si>
    <t xml:space="preserve">epic:repo-understanding, priority:must, type:feature, phase:1</t>
  </si>
  <si>
    <t xml:space="preserve">To Do</t>
  </si>
  <si>
    <t xml:space="preserve">SLX-A2</t>
  </si>
  <si>
    <t xml:space="preserve">Sprint 2</t>
  </si>
  <si>
    <t xml:space="preserve">Retrieve relevant files for a task</t>
  </si>
  <si>
    <t xml:space="preserve">As a developer, I want the agent to find the right files for a given task automatically, so that I don't have to manually point it at the relevant code.</t>
  </si>
  <si>
    <t xml:space="preserve">Given a task description, the top-N retrieved files include the file(s) actually requiring changes, verified against a labeled test set.</t>
  </si>
  <si>
    <t xml:space="preserve">SLX-A3</t>
  </si>
  <si>
    <t xml:space="preserve">Sprint 3</t>
  </si>
  <si>
    <t xml:space="preserve">Respect project conventions</t>
  </si>
  <si>
    <t xml:space="preserve">As a developer, I want the agent to understand project conventions (style, structure, existing patterns), so that its changes fit naturally into the codebase.</t>
  </si>
  <si>
    <t xml:space="preserve">Agent-authored code passes the project's existing linter without manual fixes in the common case.</t>
  </si>
  <si>
    <t xml:space="preserve">Should</t>
  </si>
  <si>
    <t xml:space="preserve">3</t>
  </si>
  <si>
    <t xml:space="preserve">epic:repo-understanding, priority:should, type:feature, phase:1</t>
  </si>
  <si>
    <t xml:space="preserve">SLX-B1</t>
  </si>
  <si>
    <t xml:space="preserve">B: Requirement Understanding</t>
  </si>
  <si>
    <t xml:space="preserve">Accept plain-language task input</t>
  </si>
  <si>
    <t xml:space="preserve">As a developer, I want to give the agent a plain-language description of a feature or bug, so that I don't have to write a formal spec.</t>
  </si>
  <si>
    <t xml:space="preserve">Free-text input is accepted; agent produces a task plan before making changes.</t>
  </si>
  <si>
    <t xml:space="preserve">2</t>
  </si>
  <si>
    <t xml:space="preserve">epic:requirement-understanding, priority:must, type:feature, phase:1</t>
  </si>
  <si>
    <t xml:space="preserve">SLX-B2</t>
  </si>
  <si>
    <t xml:space="preserve">Sprint 8</t>
  </si>
  <si>
    <t xml:space="preserve">Ask clarifying questions on ambiguity</t>
  </si>
  <si>
    <t xml:space="preserve">As a developer, I want the agent to ask clarifying questions when a requirement is ambiguous, so that it doesn't guess wrong and waste a cycle.</t>
  </si>
  <si>
    <t xml:space="preserve">If confidence in scope is low (e.g. multiple valid interpretations), agent surfaces a question instead of proceeding blindly.</t>
  </si>
  <si>
    <t xml:space="preserve">epic:requirement-understanding, priority:should, type:feature, phase:1</t>
  </si>
  <si>
    <t xml:space="preserve">SLX-B3</t>
  </si>
  <si>
    <t xml:space="preserve">Produce a reviewable task plan</t>
  </si>
  <si>
    <t xml:space="preserve">As a tech lead, I want the agent to break a larger requirement into a task plan I can review before it starts editing, so that I can catch scope issues early.</t>
  </si>
  <si>
    <t xml:space="preserve">Agent outputs an ordered plan (files to touch, approach) before any code is modified, and waits for approval if the task is flagged as large/risky.</t>
  </si>
  <si>
    <t xml:space="preserve">SLX-C1</t>
  </si>
  <si>
    <t xml:space="preserve">C: Code Modification</t>
  </si>
  <si>
    <t xml:space="preserve">Generate diffs, not full-file rewrites</t>
  </si>
  <si>
    <t xml:space="preserve">As a developer, I want the agent to generate a code diff (not full-file rewrites), so that changes are minimal and reviewable.</t>
  </si>
  <si>
    <t xml:space="preserve">Output is a unified diff/patch, not a full file replacement, except when creating new files.</t>
  </si>
  <si>
    <t xml:space="preserve">epic:code-modification, priority:must, type:feature, phase:1</t>
  </si>
  <si>
    <t xml:space="preserve">SLX-C2</t>
  </si>
  <si>
    <t xml:space="preserve">Sprint 7</t>
  </si>
  <si>
    <t xml:space="preserve">Write/update tests alongside changes</t>
  </si>
  <si>
    <t xml:space="preserve">As a developer, I want the agent to write or update tests alongside code changes, so that the change is verifiable and future-proof.</t>
  </si>
  <si>
    <t xml:space="preserve">For any behavior change, at least one corresponding test is added or updated.</t>
  </si>
  <si>
    <t xml:space="preserve">epic:code-modification, priority:should, type:feature, phase:1</t>
  </si>
  <si>
    <t xml:space="preserve">SLX-C3</t>
  </si>
  <si>
    <t xml:space="preserve">Sprint 4</t>
  </si>
  <si>
    <t xml:space="preserve">Run test suite after edits</t>
  </si>
  <si>
    <t xml:space="preserve">As a developer, I want the agent to run the existing test suite after making changes, so that regressions are caught immediately.</t>
  </si>
  <si>
    <t xml:space="preserve">Test suite runs automatically post-edit; results (pass/fail + output) are captured.</t>
  </si>
  <si>
    <t xml:space="preserve">SLX-C4</t>
  </si>
  <si>
    <t xml:space="preserve">Retry and self-correct on failure</t>
  </si>
  <si>
    <t xml:space="preserve">As a developer, I want the agent to retry and self-correct when tests fail, so that I don't have to manually debug its first attempt.</t>
  </si>
  <si>
    <t xml:space="preserve">On failure, error output is fed back to the reasoning engine, which proposes a revised diff, up to a configurable retry limit.</t>
  </si>
  <si>
    <t xml:space="preserve">SLX-D1</t>
  </si>
  <si>
    <t xml:space="preserve">D: Human Oversight &amp; Trust</t>
  </si>
  <si>
    <t xml:space="preserve">Sprint 6</t>
  </si>
  <si>
    <t xml:space="preserve">Deliver changes as pull requests</t>
  </si>
  <si>
    <t xml:space="preserve">As a tech lead, I want every agent change delivered as a pull request, so that a human always reviews before merge.</t>
  </si>
  <si>
    <t xml:space="preserve">No commits land on protected branches without PR + approval flow.</t>
  </si>
  <si>
    <t xml:space="preserve">epic:human-oversight, priority:must, type:feature, phase:1</t>
  </si>
  <si>
    <t xml:space="preserve">SLX-D2</t>
  </si>
  <si>
    <t xml:space="preserve">Show reasoning trace in PR</t>
  </si>
  <si>
    <t xml:space="preserve">As a reviewer, I want to see the agent's reasoning trace alongside the diff, so that I understand why it made each change.</t>
  </si>
  <si>
    <t xml:space="preserve">PR description includes a summary of the plan, key decisions, and test results.</t>
  </si>
  <si>
    <t xml:space="preserve">epic:human-oversight, priority:should, type:feature, phase:1</t>
  </si>
  <si>
    <t xml:space="preserve">SLX-D3</t>
  </si>
  <si>
    <t xml:space="preserve">Accept conversational PR feedback</t>
  </si>
  <si>
    <t xml:space="preserve">As a developer, I want to reject or request changes to an agent's PR conversationally, so that I can course-correct without starting over.</t>
  </si>
  <si>
    <t xml:space="preserve">Feedback on a PR is fed back into the agent's context for a revised attempt.</t>
  </si>
  <si>
    <t xml:space="preserve">Could</t>
  </si>
  <si>
    <t xml:space="preserve">epic:human-oversight, priority:could, type:feature, phase:1</t>
  </si>
  <si>
    <t xml:space="preserve">SLX-D4</t>
  </si>
  <si>
    <t xml:space="preserve">Task outcomes dashboard (basic/CLI)</t>
  </si>
  <si>
    <t xml:space="preserve">As an engineering manager, I want visibility into how many tasks the agent attempted, resolved, or failed, so that I can gauge its reliability over time.</t>
  </si>
  <si>
    <t xml:space="preserve">A dashboard/log shows task outcomes, retry counts, and time-to-resolution.</t>
  </si>
  <si>
    <t xml:space="preserve">epic:human-oversight, priority:could, type:chore, phase:1</t>
  </si>
  <si>
    <t xml:space="preserve">SLX-E1</t>
  </si>
  <si>
    <t xml:space="preserve">E: Safety &amp; Guardrails</t>
  </si>
  <si>
    <t xml:space="preserve">Sprint 5</t>
  </si>
  <si>
    <t xml:space="preserve">Sandbox all code execution</t>
  </si>
  <si>
    <t xml:space="preserve">As a developer, I want the agent to run in a sandboxed environment, so that it can't affect my machine or production systems directly.</t>
  </si>
  <si>
    <t xml:space="preserve">All code execution happens in an isolated container/VM with no access to host secrets or unrelated systems.</t>
  </si>
  <si>
    <t xml:space="preserve">epic:safety, priority:must, type:chore, phase:1</t>
  </si>
  <si>
    <t xml:space="preserve">SLX-E2</t>
  </si>
  <si>
    <t xml:space="preserve">Confirm before destructive operations</t>
  </si>
  <si>
    <t xml:space="preserve">As a developer, I want the agent to ask for explicit confirmation before destructive operations, so that mistakes are never silent.</t>
  </si>
  <si>
    <t xml:space="preserve">Any operation on a configurable 'dangerous ops' list requires an explicit user confirmation step.</t>
  </si>
  <si>
    <t xml:space="preserve">epic:safety, priority:must, type:feature, phase:1</t>
  </si>
  <si>
    <t xml:space="preserve">SLX-E3</t>
  </si>
  <si>
    <t xml:space="preserve">Cap retries per task</t>
  </si>
  <si>
    <t xml:space="preserve">As a developer, I want a hard cap on retries per task, so that a stuck task doesn't burn unbounded time or API cost.</t>
  </si>
  <si>
    <t xml:space="preserve">Configurable max retry count; task is marked 'needs human help' once exceeded, rather than looping forever.</t>
  </si>
  <si>
    <t xml:space="preserve">SLX-F1</t>
  </si>
  <si>
    <t xml:space="preserve">F: Developer Experience</t>
  </si>
  <si>
    <t xml:space="preserve">Submit tasks via CLI</t>
  </si>
  <si>
    <t xml:space="preserve">As a developer, I want to submit a task via CLI, so that I can integrate this into my existing terminal workflow.</t>
  </si>
  <si>
    <t xml:space="preserve">`solvix run "&lt;task description&gt;"` triggers the full loop against the current repo.</t>
  </si>
  <si>
    <t xml:space="preserve">epic:dev-experience, priority:must, type:feature, phase:1</t>
  </si>
  <si>
    <t xml:space="preserve">SLX-F2</t>
  </si>
  <si>
    <t xml:space="preserve">Live progress updates</t>
  </si>
  <si>
    <t xml:space="preserve">As a developer, I want to see live progress (what file it's looking at, what it's trying), so that I'm not staring at a black box.</t>
  </si>
  <si>
    <t xml:space="preserve">Streaming status updates during retrieval, planning, editing, and testing phases.</t>
  </si>
  <si>
    <t xml:space="preserve">epic:dev-experience, priority:should, type:feature, phase:1</t>
  </si>
  <si>
    <t xml:space="preserve">SLX-F3</t>
  </si>
  <si>
    <t xml:space="preserve">Configurable path allow/deny list</t>
  </si>
  <si>
    <t xml:space="preserve">As a developer, I want to configure which parts of the repo the agent is allowed to touch, so that sensitive files are never modified.</t>
  </si>
  <si>
    <t xml:space="preserve">A config file (.solvix.yml) supports include/exclude paths, enforced before any write operation.</t>
  </si>
  <si>
    <t xml:space="preserve">SLX-P2-1</t>
  </si>
  <si>
    <t xml:space="preserve">Phase 2: Trust &amp; UX</t>
  </si>
  <si>
    <t xml:space="preserve">G: Platform Integration</t>
  </si>
  <si>
    <t xml:space="preserve">Sprint 9</t>
  </si>
  <si>
    <t xml:space="preserve">GitHub App integration</t>
  </si>
  <si>
    <t xml:space="preserve">As a developer, I want the agent to run as a GitHub App that responds to issues/PR comments, so that I don't need the CLI to trigger tasks.</t>
  </si>
  <si>
    <t xml:space="preserve">Installing the GitHub App on a repo allows triggering tasks via issue labels or comments; agent posts PRs automatically without local CLI use.</t>
  </si>
  <si>
    <t xml:space="preserve">8</t>
  </si>
  <si>
    <t xml:space="preserve">epic:platform-integration, priority:must, type:feature, phase:2</t>
  </si>
  <si>
    <t xml:space="preserve">SLX-P2-2</t>
  </si>
  <si>
    <t xml:space="preserve">Browsable reasoning trace UI</t>
  </si>
  <si>
    <t xml:space="preserve">As a reviewer, I want a rich, browsable view of the agent's reasoning trace (not just PR text), so that I can audit decisions without reading raw logs.</t>
  </si>
  <si>
    <t xml:space="preserve">A web view shows the step-by-step plan, diffs per step, and test results in a navigable UI, linked from the PR.</t>
  </si>
  <si>
    <t xml:space="preserve">epic:human-oversight, priority:should, type:feature, phase:2</t>
  </si>
  <si>
    <t xml:space="preserve">SLX-P2-3</t>
  </si>
  <si>
    <t xml:space="preserve">Sprint 10</t>
  </si>
  <si>
    <t xml:space="preserve">Multi-file, multi-step tasks</t>
  </si>
  <si>
    <t xml:space="preserve">As a developer, I want the agent to handle tasks that span multiple files and multiple sequential steps, so that I can request larger features, not just single-file fixes.</t>
  </si>
  <si>
    <t xml:space="preserve">Planner can output plans with 5+ ordered steps across different files, executing and verifying each step before proceeding to the next.</t>
  </si>
  <si>
    <t xml:space="preserve">epic:code-modification, priority:must, type:feature, phase:2</t>
  </si>
  <si>
    <t xml:space="preserve">SLX-P2-4</t>
  </si>
  <si>
    <t xml:space="preserve">Configurable style guide / conventions doc</t>
  </si>
  <si>
    <t xml:space="preserve">As a developer, I want to define a style guide or conventions doc that the agent references, so that generated code matches team standards beyond what the linter catches.</t>
  </si>
  <si>
    <t xml:space="preserve">A conventions file (e.g. CONVENTIONS.md) is included in context assembly; agent-authored code is checked against it before PR creation.</t>
  </si>
  <si>
    <t xml:space="preserve">epic:repo-understanding, priority:should, type:feature, phase:2</t>
  </si>
  <si>
    <t xml:space="preserve">SLX-P2-5</t>
  </si>
  <si>
    <t xml:space="preserve">Sprint 11</t>
  </si>
  <si>
    <t xml:space="preserve">Per-path approval workflows</t>
  </si>
  <si>
    <t xml:space="preserve">As a tech lead, I want granular approval workflows per path/module (not just a single sensitive-path flag), so that different teams can set different oversight levels.</t>
  </si>
  <si>
    <t xml:space="preserve">Config supports per-path approval rules (auto-merge, review-required, blocked), enforced by the PR builder and guardrails layer.</t>
  </si>
  <si>
    <t xml:space="preserve">epic:safety, priority:could, type:feature, phase:2</t>
  </si>
  <si>
    <t xml:space="preserve">SLX-P2-6</t>
  </si>
  <si>
    <t xml:space="preserve">Notification integrations</t>
  </si>
  <si>
    <t xml:space="preserve">As a developer, I want Slack/email notifications when a task completes or needs review, so that I don't have to poll for status.</t>
  </si>
  <si>
    <t xml:space="preserve">A configurable webhook/notification fires on task completion, failure, or approval-needed events.</t>
  </si>
  <si>
    <t xml:space="preserve">epic:dev-experience, priority:could, type:feature, phase:2</t>
  </si>
  <si>
    <t xml:space="preserve">SLX-P2-7</t>
  </si>
  <si>
    <t xml:space="preserve">Sprint 12</t>
  </si>
  <si>
    <t xml:space="preserve">Web dashboard for task history</t>
  </si>
  <si>
    <t xml:space="preserve">As an engineering manager, I want a web dashboard (not just CLI logs) showing task history across the team, so that I can track usage and outcomes.</t>
  </si>
  <si>
    <t xml:space="preserve">A hosted or self-hosted web view lists tasks, statuses, retry counts, and links to PRs across all repos using Solvix.</t>
  </si>
  <si>
    <t xml:space="preserve">SLX-P3-1</t>
  </si>
  <si>
    <t xml:space="preserve">Phase 3: Scale &amp; Autonomy</t>
  </si>
  <si>
    <t xml:space="preserve">H: Multi-Repo &amp; Scale</t>
  </si>
  <si>
    <t xml:space="preserve">Sprint 13</t>
  </si>
  <si>
    <t xml:space="preserve">Multi-repo task support</t>
  </si>
  <si>
    <t xml:space="preserve">As a developer, I want the agent to operate across multiple repositories in one task, so that I can request changes spanning services (e.g. API + client).</t>
  </si>
  <si>
    <t xml:space="preserve">A task can specify multiple repos; agent coordinates changes and opens linked PRs across all affected repos.</t>
  </si>
  <si>
    <t xml:space="preserve">epic:multi-repo-scale, priority:must, type:feature, phase:3</t>
  </si>
  <si>
    <t xml:space="preserve">SLX-P3-2</t>
  </si>
  <si>
    <t xml:space="preserve">Asynchronous task queue</t>
  </si>
  <si>
    <t xml:space="preserve">As a developer, I want to submit a task and receive the PR later (not wait synchronously), so that I can queue up multiple tasks without blocking my terminal.</t>
  </si>
  <si>
    <t xml:space="preserve">Tasks are queued, processed asynchronously in the background, and status is queryable and notifiable.</t>
  </si>
  <si>
    <t xml:space="preserve">SLX-P3-3</t>
  </si>
  <si>
    <t xml:space="preserve">Sprint 14</t>
  </si>
  <si>
    <t xml:space="preserve">Learn from PR feedback history</t>
  </si>
  <si>
    <t xml:space="preserve">As a tech lead, I want the agent to learn from previously accepted/rejected PRs, so that its suggestions improve over time for our specific codebase.</t>
  </si>
  <si>
    <t xml:space="preserve">Rejected PR feedback is stored and referenced in future context assembly for similar tasks; measurable improvement in acceptance rate over time.</t>
  </si>
  <si>
    <t xml:space="preserve">epic:multi-repo-scale, priority:could, type:feature, phase:3</t>
  </si>
  <si>
    <t xml:space="preserve">SLX-P3-4</t>
  </si>
  <si>
    <t xml:space="preserve">Multi-language/framework support</t>
  </si>
  <si>
    <t xml:space="preserve">As a developer, I want the agent to support multiple languages/frameworks (not just one), so that I can use it across our polyglot codebase.</t>
  </si>
  <si>
    <t xml:space="preserve">Indexer, test runner, and guardrails support at least 2 additional languages beyond the MVP target, configurable per repo.</t>
  </si>
  <si>
    <t xml:space="preserve">epic:multi-repo-scale, priority:should, type:feature, phase:3</t>
  </si>
  <si>
    <t xml:space="preserve">SLX-P3-5</t>
  </si>
  <si>
    <t xml:space="preserve">Sprint 15</t>
  </si>
  <si>
    <t xml:space="preserve">Cross-repo dependency awareness</t>
  </si>
  <si>
    <t xml:space="preserve">As a developer, I want the agent to understand dependencies between repos (e.g. shared libraries), so that multi-repo changes remain consistent.</t>
  </si>
  <si>
    <t xml:space="preserve">Agent detects and surfaces cross-repo dependency impacts before proposing a multi-repo plan.</t>
  </si>
  <si>
    <t xml:space="preserve">SLX-P3-6</t>
  </si>
  <si>
    <t xml:space="preserve">Guided setup wizard (init)</t>
  </si>
  <si>
    <t xml:space="preserve">As a new user, I want a guided setup wizard when adding a new repo, so that I don't need to hand-write the entire config file.</t>
  </si>
  <si>
    <t xml:space="preserve">`solvix init` interactively detects language, test command, and suggests sensible config defaults for confirmation.</t>
  </si>
  <si>
    <t xml:space="preserve">epic:dev-experience, priority:should, type:feature, phase:3</t>
  </si>
  <si>
    <t xml:space="preserve">Focus</t>
  </si>
  <si>
    <t xml:space="preserve">Story Count</t>
  </si>
  <si>
    <t xml:space="preserve">Total Story Points</t>
  </si>
  <si>
    <t xml:space="preserve">Repo indexer (chunking + embeddings + symbol index)</t>
  </si>
  <si>
    <t xml:space="preserve">Context assembler + planner + plain-language input</t>
  </si>
  <si>
    <t xml:space="preserve">Editor diffs + project convention handling</t>
  </si>
  <si>
    <t xml:space="preserve">Test runner integration + retry loop</t>
  </si>
  <si>
    <t xml:space="preserve">Guardrails (sandbox, confirmations, retry cap, path config)</t>
  </si>
  <si>
    <t xml:space="preserve">PR builder, CLI, live progress, reasoning trace</t>
  </si>
  <si>
    <t xml:space="preserve">Golden-task benchmark + test generation</t>
  </si>
  <si>
    <t xml:space="preserve">Clarifying questions, PR feedback loop, outcomes dashboard</t>
  </si>
  <si>
    <t xml:space="preserve">GitHub App integration + browsable reasoning trace</t>
  </si>
  <si>
    <t xml:space="preserve">Multi-file/multi-step tasks + conventions doc support</t>
  </si>
  <si>
    <t xml:space="preserve">Per-path approvals + notification integrations</t>
  </si>
  <si>
    <t xml:space="preserve">Multi-repo task support + async task queue</t>
  </si>
  <si>
    <t xml:space="preserve">Learning from PR feedback + multi-language support</t>
  </si>
  <si>
    <t xml:space="preserve">Cross-repo dependency awareness + setup wizard</t>
  </si>
  <si>
    <t xml:space="preserve">Total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</si>
</sst>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2C3E50"/>
        <bgColor rgb="FF333399"/>
      </patternFill>
    </fill>
    <fill>
      <patternFill patternType="solid">
        <fgColor rgb="FFDCEEFB"/>
        <bgColor rgb="FFE8E4F5"/>
      </patternFill>
    </fill>
    <fill>
      <patternFill patternType="solid">
        <fgColor rgb="FFF8D7DA"/>
        <bgColor rgb="FFFDEBD8"/>
      </patternFill>
    </fill>
    <fill>
      <patternFill patternType="solid">
        <fgColor rgb="FFFFF3CD"/>
        <bgColor rgb="FFFDEBD8"/>
      </patternFill>
    </fill>
    <fill>
      <patternFill patternType="solid">
        <fgColor rgb="FFD4EDDA"/>
        <bgColor rgb="FFDCEEFB"/>
      </patternFill>
    </fill>
    <fill>
      <patternFill patternType="solid">
        <fgColor rgb="FFE8E4F5"/>
        <bgColor rgb="FFDCEEFB"/>
      </patternFill>
    </fill>
    <fill>
      <patternFill patternType="solid">
        <fgColor rgb="FFFDEBD8"/>
        <bgColor rgb="FFFFF3C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C3E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EFB"/>
          <bgColor rgb="FF000000"/>
        </patternFill>
      </fill>
    </dxf>
    <dxf>
      <fill>
        <patternFill patternType="solid">
          <fgColor rgb="FFE8E4F5"/>
          <bgColor rgb="FF000000"/>
        </patternFill>
      </fill>
    </dxf>
    <dxf>
      <fill>
        <patternFill patternType="solid">
          <fgColor rgb="FFFDEBD8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DCEE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4F5"/>
      <rgbColor rgb="FFD4EDDA"/>
      <rgbColor rgb="FFFDEBD8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26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7" min="6" style="0" width="55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40"/>
    <col collapsed="false" customWidth="true" hidden="false" outlineLevel="0" max="11" min="11" style="0" width="10"/>
  </cols>
  <sheetData>
    <row r="1" customFormat="false" ht="33.7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customFormat="false" ht="35.05" hidden="false" customHeight="false" outlineLevel="0" collapsed="false">
      <c r="A2" s="2" t="s">
        <v>11</v>
      </c>
      <c r="B2" s="3" t="s">
        <v>12</v>
      </c>
      <c r="C2" s="2" t="s">
        <v>13</v>
      </c>
      <c r="D2" s="2" t="s">
        <v>14</v>
      </c>
      <c r="E2" s="2" t="s">
        <v>15</v>
      </c>
      <c r="F2" s="2" t="s">
        <v>16</v>
      </c>
      <c r="G2" s="2" t="s">
        <v>17</v>
      </c>
      <c r="H2" s="4" t="s">
        <v>18</v>
      </c>
      <c r="I2" s="2" t="s">
        <v>19</v>
      </c>
      <c r="J2" s="2" t="s">
        <v>20</v>
      </c>
      <c r="K2" s="2" t="s">
        <v>21</v>
      </c>
    </row>
    <row r="3" customFormat="false" ht="35.05" hidden="false" customHeight="false" outlineLevel="0" collapsed="false">
      <c r="A3" s="2" t="s">
        <v>22</v>
      </c>
      <c r="B3" s="3" t="s">
        <v>12</v>
      </c>
      <c r="C3" s="2" t="s">
        <v>13</v>
      </c>
      <c r="D3" s="2" t="s">
        <v>23</v>
      </c>
      <c r="E3" s="2" t="s">
        <v>24</v>
      </c>
      <c r="F3" s="2" t="s">
        <v>25</v>
      </c>
      <c r="G3" s="2" t="s">
        <v>26</v>
      </c>
      <c r="H3" s="4" t="s">
        <v>18</v>
      </c>
      <c r="I3" s="2" t="s">
        <v>19</v>
      </c>
      <c r="J3" s="2" t="s">
        <v>20</v>
      </c>
      <c r="K3" s="2" t="s">
        <v>21</v>
      </c>
    </row>
    <row r="4" customFormat="false" ht="35.05" hidden="false" customHeight="false" outlineLevel="0" collapsed="false">
      <c r="A4" s="2" t="s">
        <v>27</v>
      </c>
      <c r="B4" s="3" t="s">
        <v>12</v>
      </c>
      <c r="C4" s="2" t="s">
        <v>13</v>
      </c>
      <c r="D4" s="2" t="s">
        <v>28</v>
      </c>
      <c r="E4" s="2" t="s">
        <v>29</v>
      </c>
      <c r="F4" s="2" t="s">
        <v>30</v>
      </c>
      <c r="G4" s="2" t="s">
        <v>31</v>
      </c>
      <c r="H4" s="5" t="s">
        <v>32</v>
      </c>
      <c r="I4" s="2" t="s">
        <v>33</v>
      </c>
      <c r="J4" s="2" t="s">
        <v>34</v>
      </c>
      <c r="K4" s="2" t="s">
        <v>21</v>
      </c>
    </row>
    <row r="5" customFormat="false" ht="35.05" hidden="false" customHeight="false" outlineLevel="0" collapsed="false">
      <c r="A5" s="2" t="s">
        <v>35</v>
      </c>
      <c r="B5" s="3" t="s">
        <v>12</v>
      </c>
      <c r="C5" s="2" t="s">
        <v>36</v>
      </c>
      <c r="D5" s="2" t="s">
        <v>23</v>
      </c>
      <c r="E5" s="2" t="s">
        <v>37</v>
      </c>
      <c r="F5" s="2" t="s">
        <v>38</v>
      </c>
      <c r="G5" s="2" t="s">
        <v>39</v>
      </c>
      <c r="H5" s="4" t="s">
        <v>18</v>
      </c>
      <c r="I5" s="2" t="s">
        <v>40</v>
      </c>
      <c r="J5" s="2" t="s">
        <v>41</v>
      </c>
      <c r="K5" s="2" t="s">
        <v>21</v>
      </c>
    </row>
    <row r="6" customFormat="false" ht="35.05" hidden="false" customHeight="false" outlineLevel="0" collapsed="false">
      <c r="A6" s="2" t="s">
        <v>42</v>
      </c>
      <c r="B6" s="3" t="s">
        <v>12</v>
      </c>
      <c r="C6" s="2" t="s">
        <v>36</v>
      </c>
      <c r="D6" s="2" t="s">
        <v>43</v>
      </c>
      <c r="E6" s="2" t="s">
        <v>44</v>
      </c>
      <c r="F6" s="2" t="s">
        <v>45</v>
      </c>
      <c r="G6" s="2" t="s">
        <v>46</v>
      </c>
      <c r="H6" s="5" t="s">
        <v>32</v>
      </c>
      <c r="I6" s="2" t="s">
        <v>33</v>
      </c>
      <c r="J6" s="2" t="s">
        <v>47</v>
      </c>
      <c r="K6" s="2" t="s">
        <v>21</v>
      </c>
    </row>
    <row r="7" customFormat="false" ht="35.05" hidden="false" customHeight="false" outlineLevel="0" collapsed="false">
      <c r="A7" s="2" t="s">
        <v>48</v>
      </c>
      <c r="B7" s="3" t="s">
        <v>12</v>
      </c>
      <c r="C7" s="2" t="s">
        <v>36</v>
      </c>
      <c r="D7" s="2" t="s">
        <v>23</v>
      </c>
      <c r="E7" s="2" t="s">
        <v>49</v>
      </c>
      <c r="F7" s="2" t="s">
        <v>50</v>
      </c>
      <c r="G7" s="2" t="s">
        <v>51</v>
      </c>
      <c r="H7" s="4" t="s">
        <v>18</v>
      </c>
      <c r="I7" s="2" t="s">
        <v>19</v>
      </c>
      <c r="J7" s="2" t="s">
        <v>41</v>
      </c>
      <c r="K7" s="2" t="s">
        <v>21</v>
      </c>
    </row>
    <row r="8" customFormat="false" ht="23.85" hidden="false" customHeight="false" outlineLevel="0" collapsed="false">
      <c r="A8" s="2" t="s">
        <v>52</v>
      </c>
      <c r="B8" s="3" t="s">
        <v>12</v>
      </c>
      <c r="C8" s="2" t="s">
        <v>53</v>
      </c>
      <c r="D8" s="2" t="s">
        <v>28</v>
      </c>
      <c r="E8" s="2" t="s">
        <v>54</v>
      </c>
      <c r="F8" s="2" t="s">
        <v>55</v>
      </c>
      <c r="G8" s="2" t="s">
        <v>56</v>
      </c>
      <c r="H8" s="4" t="s">
        <v>18</v>
      </c>
      <c r="I8" s="2" t="s">
        <v>19</v>
      </c>
      <c r="J8" s="2" t="s">
        <v>57</v>
      </c>
      <c r="K8" s="2" t="s">
        <v>21</v>
      </c>
    </row>
    <row r="9" customFormat="false" ht="23.85" hidden="false" customHeight="false" outlineLevel="0" collapsed="false">
      <c r="A9" s="2" t="s">
        <v>58</v>
      </c>
      <c r="B9" s="3" t="s">
        <v>12</v>
      </c>
      <c r="C9" s="2" t="s">
        <v>53</v>
      </c>
      <c r="D9" s="2" t="s">
        <v>59</v>
      </c>
      <c r="E9" s="2" t="s">
        <v>60</v>
      </c>
      <c r="F9" s="2" t="s">
        <v>61</v>
      </c>
      <c r="G9" s="2" t="s">
        <v>62</v>
      </c>
      <c r="H9" s="5" t="s">
        <v>32</v>
      </c>
      <c r="I9" s="2" t="s">
        <v>19</v>
      </c>
      <c r="J9" s="2" t="s">
        <v>63</v>
      </c>
      <c r="K9" s="2" t="s">
        <v>21</v>
      </c>
    </row>
    <row r="10" customFormat="false" ht="23.85" hidden="false" customHeight="false" outlineLevel="0" collapsed="false">
      <c r="A10" s="2" t="s">
        <v>64</v>
      </c>
      <c r="B10" s="3" t="s">
        <v>12</v>
      </c>
      <c r="C10" s="2" t="s">
        <v>53</v>
      </c>
      <c r="D10" s="2" t="s">
        <v>65</v>
      </c>
      <c r="E10" s="2" t="s">
        <v>66</v>
      </c>
      <c r="F10" s="2" t="s">
        <v>67</v>
      </c>
      <c r="G10" s="2" t="s">
        <v>68</v>
      </c>
      <c r="H10" s="4" t="s">
        <v>18</v>
      </c>
      <c r="I10" s="2" t="s">
        <v>33</v>
      </c>
      <c r="J10" s="2" t="s">
        <v>57</v>
      </c>
      <c r="K10" s="2" t="s">
        <v>21</v>
      </c>
    </row>
    <row r="11" customFormat="false" ht="23.85" hidden="false" customHeight="false" outlineLevel="0" collapsed="false">
      <c r="A11" s="2" t="s">
        <v>69</v>
      </c>
      <c r="B11" s="3" t="s">
        <v>12</v>
      </c>
      <c r="C11" s="2" t="s">
        <v>53</v>
      </c>
      <c r="D11" s="2" t="s">
        <v>65</v>
      </c>
      <c r="E11" s="2" t="s">
        <v>70</v>
      </c>
      <c r="F11" s="2" t="s">
        <v>71</v>
      </c>
      <c r="G11" s="2" t="s">
        <v>72</v>
      </c>
      <c r="H11" s="4" t="s">
        <v>18</v>
      </c>
      <c r="I11" s="2" t="s">
        <v>19</v>
      </c>
      <c r="J11" s="2" t="s">
        <v>57</v>
      </c>
      <c r="K11" s="2" t="s">
        <v>21</v>
      </c>
    </row>
    <row r="12" customFormat="false" ht="23.85" hidden="false" customHeight="false" outlineLevel="0" collapsed="false">
      <c r="A12" s="2" t="s">
        <v>73</v>
      </c>
      <c r="B12" s="3" t="s">
        <v>12</v>
      </c>
      <c r="C12" s="2" t="s">
        <v>74</v>
      </c>
      <c r="D12" s="2" t="s">
        <v>75</v>
      </c>
      <c r="E12" s="2" t="s">
        <v>76</v>
      </c>
      <c r="F12" s="2" t="s">
        <v>77</v>
      </c>
      <c r="G12" s="2" t="s">
        <v>78</v>
      </c>
      <c r="H12" s="4" t="s">
        <v>18</v>
      </c>
      <c r="I12" s="2" t="s">
        <v>33</v>
      </c>
      <c r="J12" s="2" t="s">
        <v>79</v>
      </c>
      <c r="K12" s="2" t="s">
        <v>21</v>
      </c>
    </row>
    <row r="13" customFormat="false" ht="23.85" hidden="false" customHeight="false" outlineLevel="0" collapsed="false">
      <c r="A13" s="2" t="s">
        <v>80</v>
      </c>
      <c r="B13" s="3" t="s">
        <v>12</v>
      </c>
      <c r="C13" s="2" t="s">
        <v>74</v>
      </c>
      <c r="D13" s="2" t="s">
        <v>75</v>
      </c>
      <c r="E13" s="2" t="s">
        <v>81</v>
      </c>
      <c r="F13" s="2" t="s">
        <v>82</v>
      </c>
      <c r="G13" s="2" t="s">
        <v>83</v>
      </c>
      <c r="H13" s="5" t="s">
        <v>32</v>
      </c>
      <c r="I13" s="2" t="s">
        <v>33</v>
      </c>
      <c r="J13" s="2" t="s">
        <v>84</v>
      </c>
      <c r="K13" s="2" t="s">
        <v>21</v>
      </c>
    </row>
    <row r="14" customFormat="false" ht="35.05" hidden="false" customHeight="false" outlineLevel="0" collapsed="false">
      <c r="A14" s="2" t="s">
        <v>85</v>
      </c>
      <c r="B14" s="3" t="s">
        <v>12</v>
      </c>
      <c r="C14" s="2" t="s">
        <v>74</v>
      </c>
      <c r="D14" s="2" t="s">
        <v>43</v>
      </c>
      <c r="E14" s="2" t="s">
        <v>86</v>
      </c>
      <c r="F14" s="2" t="s">
        <v>87</v>
      </c>
      <c r="G14" s="2" t="s">
        <v>88</v>
      </c>
      <c r="H14" s="6" t="s">
        <v>89</v>
      </c>
      <c r="I14" s="2" t="s">
        <v>19</v>
      </c>
      <c r="J14" s="2" t="s">
        <v>90</v>
      </c>
      <c r="K14" s="2" t="s">
        <v>21</v>
      </c>
    </row>
    <row r="15" customFormat="false" ht="35.05" hidden="false" customHeight="false" outlineLevel="0" collapsed="false">
      <c r="A15" s="2" t="s">
        <v>91</v>
      </c>
      <c r="B15" s="3" t="s">
        <v>12</v>
      </c>
      <c r="C15" s="2" t="s">
        <v>74</v>
      </c>
      <c r="D15" s="2" t="s">
        <v>43</v>
      </c>
      <c r="E15" s="2" t="s">
        <v>92</v>
      </c>
      <c r="F15" s="2" t="s">
        <v>93</v>
      </c>
      <c r="G15" s="2" t="s">
        <v>94</v>
      </c>
      <c r="H15" s="6" t="s">
        <v>89</v>
      </c>
      <c r="I15" s="2" t="s">
        <v>33</v>
      </c>
      <c r="J15" s="2" t="s">
        <v>95</v>
      </c>
      <c r="K15" s="2" t="s">
        <v>21</v>
      </c>
    </row>
    <row r="16" customFormat="false" ht="35.05" hidden="false" customHeight="false" outlineLevel="0" collapsed="false">
      <c r="A16" s="2" t="s">
        <v>96</v>
      </c>
      <c r="B16" s="3" t="s">
        <v>12</v>
      </c>
      <c r="C16" s="2" t="s">
        <v>97</v>
      </c>
      <c r="D16" s="2" t="s">
        <v>98</v>
      </c>
      <c r="E16" s="2" t="s">
        <v>99</v>
      </c>
      <c r="F16" s="2" t="s">
        <v>100</v>
      </c>
      <c r="G16" s="2" t="s">
        <v>101</v>
      </c>
      <c r="H16" s="4" t="s">
        <v>18</v>
      </c>
      <c r="I16" s="2" t="s">
        <v>19</v>
      </c>
      <c r="J16" s="2" t="s">
        <v>102</v>
      </c>
      <c r="K16" s="2" t="s">
        <v>21</v>
      </c>
    </row>
    <row r="17" customFormat="false" ht="23.85" hidden="false" customHeight="false" outlineLevel="0" collapsed="false">
      <c r="A17" s="2" t="s">
        <v>103</v>
      </c>
      <c r="B17" s="3" t="s">
        <v>12</v>
      </c>
      <c r="C17" s="2" t="s">
        <v>97</v>
      </c>
      <c r="D17" s="2" t="s">
        <v>98</v>
      </c>
      <c r="E17" s="2" t="s">
        <v>104</v>
      </c>
      <c r="F17" s="2" t="s">
        <v>105</v>
      </c>
      <c r="G17" s="2" t="s">
        <v>106</v>
      </c>
      <c r="H17" s="4" t="s">
        <v>18</v>
      </c>
      <c r="I17" s="2" t="s">
        <v>33</v>
      </c>
      <c r="J17" s="2" t="s">
        <v>107</v>
      </c>
      <c r="K17" s="2" t="s">
        <v>21</v>
      </c>
    </row>
    <row r="18" customFormat="false" ht="23.85" hidden="false" customHeight="false" outlineLevel="0" collapsed="false">
      <c r="A18" s="2" t="s">
        <v>108</v>
      </c>
      <c r="B18" s="3" t="s">
        <v>12</v>
      </c>
      <c r="C18" s="2" t="s">
        <v>97</v>
      </c>
      <c r="D18" s="2" t="s">
        <v>98</v>
      </c>
      <c r="E18" s="2" t="s">
        <v>109</v>
      </c>
      <c r="F18" s="2" t="s">
        <v>110</v>
      </c>
      <c r="G18" s="2" t="s">
        <v>111</v>
      </c>
      <c r="H18" s="4" t="s">
        <v>18</v>
      </c>
      <c r="I18" s="2" t="s">
        <v>40</v>
      </c>
      <c r="J18" s="2" t="s">
        <v>107</v>
      </c>
      <c r="K18" s="2" t="s">
        <v>21</v>
      </c>
    </row>
    <row r="19" customFormat="false" ht="23.85" hidden="false" customHeight="false" outlineLevel="0" collapsed="false">
      <c r="A19" s="2" t="s">
        <v>112</v>
      </c>
      <c r="B19" s="3" t="s">
        <v>12</v>
      </c>
      <c r="C19" s="2" t="s">
        <v>113</v>
      </c>
      <c r="D19" s="2" t="s">
        <v>75</v>
      </c>
      <c r="E19" s="2" t="s">
        <v>114</v>
      </c>
      <c r="F19" s="2" t="s">
        <v>115</v>
      </c>
      <c r="G19" s="2" t="s">
        <v>116</v>
      </c>
      <c r="H19" s="4" t="s">
        <v>18</v>
      </c>
      <c r="I19" s="2" t="s">
        <v>40</v>
      </c>
      <c r="J19" s="2" t="s">
        <v>117</v>
      </c>
      <c r="K19" s="2" t="s">
        <v>21</v>
      </c>
    </row>
    <row r="20" customFormat="false" ht="23.85" hidden="false" customHeight="false" outlineLevel="0" collapsed="false">
      <c r="A20" s="2" t="s">
        <v>118</v>
      </c>
      <c r="B20" s="3" t="s">
        <v>12</v>
      </c>
      <c r="C20" s="2" t="s">
        <v>113</v>
      </c>
      <c r="D20" s="2" t="s">
        <v>75</v>
      </c>
      <c r="E20" s="2" t="s">
        <v>119</v>
      </c>
      <c r="F20" s="2" t="s">
        <v>120</v>
      </c>
      <c r="G20" s="2" t="s">
        <v>121</v>
      </c>
      <c r="H20" s="5" t="s">
        <v>32</v>
      </c>
      <c r="I20" s="2" t="s">
        <v>33</v>
      </c>
      <c r="J20" s="2" t="s">
        <v>122</v>
      </c>
      <c r="K20" s="2" t="s">
        <v>21</v>
      </c>
    </row>
    <row r="21" customFormat="false" ht="23.85" hidden="false" customHeight="false" outlineLevel="0" collapsed="false">
      <c r="A21" s="2" t="s">
        <v>123</v>
      </c>
      <c r="B21" s="3" t="s">
        <v>12</v>
      </c>
      <c r="C21" s="2" t="s">
        <v>113</v>
      </c>
      <c r="D21" s="2" t="s">
        <v>98</v>
      </c>
      <c r="E21" s="2" t="s">
        <v>124</v>
      </c>
      <c r="F21" s="2" t="s">
        <v>125</v>
      </c>
      <c r="G21" s="2" t="s">
        <v>126</v>
      </c>
      <c r="H21" s="4" t="s">
        <v>18</v>
      </c>
      <c r="I21" s="2" t="s">
        <v>40</v>
      </c>
      <c r="J21" s="2" t="s">
        <v>117</v>
      </c>
      <c r="K21" s="2" t="s">
        <v>21</v>
      </c>
    </row>
    <row r="22" customFormat="false" ht="35.05" hidden="false" customHeight="false" outlineLevel="0" collapsed="false">
      <c r="A22" s="2" t="s">
        <v>127</v>
      </c>
      <c r="B22" s="7" t="s">
        <v>128</v>
      </c>
      <c r="C22" s="2" t="s">
        <v>129</v>
      </c>
      <c r="D22" s="2" t="s">
        <v>130</v>
      </c>
      <c r="E22" s="2" t="s">
        <v>131</v>
      </c>
      <c r="F22" s="2" t="s">
        <v>132</v>
      </c>
      <c r="G22" s="2" t="s">
        <v>133</v>
      </c>
      <c r="H22" s="4" t="s">
        <v>18</v>
      </c>
      <c r="I22" s="2" t="s">
        <v>134</v>
      </c>
      <c r="J22" s="2" t="s">
        <v>135</v>
      </c>
      <c r="K22" s="2" t="s">
        <v>21</v>
      </c>
    </row>
    <row r="23" customFormat="false" ht="35.05" hidden="false" customHeight="false" outlineLevel="0" collapsed="false">
      <c r="A23" s="2" t="s">
        <v>136</v>
      </c>
      <c r="B23" s="7" t="s">
        <v>128</v>
      </c>
      <c r="C23" s="2" t="s">
        <v>74</v>
      </c>
      <c r="D23" s="2" t="s">
        <v>130</v>
      </c>
      <c r="E23" s="2" t="s">
        <v>137</v>
      </c>
      <c r="F23" s="2" t="s">
        <v>138</v>
      </c>
      <c r="G23" s="2" t="s">
        <v>139</v>
      </c>
      <c r="H23" s="5" t="s">
        <v>32</v>
      </c>
      <c r="I23" s="2" t="s">
        <v>19</v>
      </c>
      <c r="J23" s="2" t="s">
        <v>140</v>
      </c>
      <c r="K23" s="2" t="s">
        <v>21</v>
      </c>
    </row>
    <row r="24" customFormat="false" ht="35.05" hidden="false" customHeight="false" outlineLevel="0" collapsed="false">
      <c r="A24" s="2" t="s">
        <v>141</v>
      </c>
      <c r="B24" s="7" t="s">
        <v>128</v>
      </c>
      <c r="C24" s="2" t="s">
        <v>53</v>
      </c>
      <c r="D24" s="2" t="s">
        <v>142</v>
      </c>
      <c r="E24" s="2" t="s">
        <v>143</v>
      </c>
      <c r="F24" s="2" t="s">
        <v>144</v>
      </c>
      <c r="G24" s="2" t="s">
        <v>145</v>
      </c>
      <c r="H24" s="4" t="s">
        <v>18</v>
      </c>
      <c r="I24" s="2" t="s">
        <v>134</v>
      </c>
      <c r="J24" s="2" t="s">
        <v>146</v>
      </c>
      <c r="K24" s="2" t="s">
        <v>21</v>
      </c>
    </row>
    <row r="25" customFormat="false" ht="35.05" hidden="false" customHeight="false" outlineLevel="0" collapsed="false">
      <c r="A25" s="2" t="s">
        <v>147</v>
      </c>
      <c r="B25" s="7" t="s">
        <v>128</v>
      </c>
      <c r="C25" s="2" t="s">
        <v>13</v>
      </c>
      <c r="D25" s="2" t="s">
        <v>142</v>
      </c>
      <c r="E25" s="2" t="s">
        <v>148</v>
      </c>
      <c r="F25" s="2" t="s">
        <v>149</v>
      </c>
      <c r="G25" s="2" t="s">
        <v>150</v>
      </c>
      <c r="H25" s="5" t="s">
        <v>32</v>
      </c>
      <c r="I25" s="2" t="s">
        <v>33</v>
      </c>
      <c r="J25" s="2" t="s">
        <v>151</v>
      </c>
      <c r="K25" s="2" t="s">
        <v>21</v>
      </c>
    </row>
    <row r="26" customFormat="false" ht="35.05" hidden="false" customHeight="false" outlineLevel="0" collapsed="false">
      <c r="A26" s="2" t="s">
        <v>152</v>
      </c>
      <c r="B26" s="7" t="s">
        <v>128</v>
      </c>
      <c r="C26" s="2" t="s">
        <v>97</v>
      </c>
      <c r="D26" s="2" t="s">
        <v>153</v>
      </c>
      <c r="E26" s="2" t="s">
        <v>154</v>
      </c>
      <c r="F26" s="2" t="s">
        <v>155</v>
      </c>
      <c r="G26" s="2" t="s">
        <v>156</v>
      </c>
      <c r="H26" s="6" t="s">
        <v>89</v>
      </c>
      <c r="I26" s="2" t="s">
        <v>19</v>
      </c>
      <c r="J26" s="2" t="s">
        <v>157</v>
      </c>
      <c r="K26" s="2" t="s">
        <v>21</v>
      </c>
    </row>
    <row r="27" customFormat="false" ht="23.85" hidden="false" customHeight="false" outlineLevel="0" collapsed="false">
      <c r="A27" s="2" t="s">
        <v>158</v>
      </c>
      <c r="B27" s="7" t="s">
        <v>128</v>
      </c>
      <c r="C27" s="2" t="s">
        <v>113</v>
      </c>
      <c r="D27" s="2" t="s">
        <v>153</v>
      </c>
      <c r="E27" s="2" t="s">
        <v>159</v>
      </c>
      <c r="F27" s="2" t="s">
        <v>160</v>
      </c>
      <c r="G27" s="2" t="s">
        <v>161</v>
      </c>
      <c r="H27" s="6" t="s">
        <v>89</v>
      </c>
      <c r="I27" s="2" t="s">
        <v>33</v>
      </c>
      <c r="J27" s="2" t="s">
        <v>162</v>
      </c>
      <c r="K27" s="2" t="s">
        <v>21</v>
      </c>
    </row>
    <row r="28" customFormat="false" ht="35.05" hidden="false" customHeight="false" outlineLevel="0" collapsed="false">
      <c r="A28" s="2" t="s">
        <v>163</v>
      </c>
      <c r="B28" s="7" t="s">
        <v>128</v>
      </c>
      <c r="C28" s="2" t="s">
        <v>74</v>
      </c>
      <c r="D28" s="2" t="s">
        <v>164</v>
      </c>
      <c r="E28" s="2" t="s">
        <v>165</v>
      </c>
      <c r="F28" s="2" t="s">
        <v>166</v>
      </c>
      <c r="G28" s="2" t="s">
        <v>167</v>
      </c>
      <c r="H28" s="5" t="s">
        <v>32</v>
      </c>
      <c r="I28" s="2" t="s">
        <v>134</v>
      </c>
      <c r="J28" s="2" t="s">
        <v>140</v>
      </c>
      <c r="K28" s="2" t="s">
        <v>21</v>
      </c>
    </row>
    <row r="29" customFormat="false" ht="35.05" hidden="false" customHeight="false" outlineLevel="0" collapsed="false">
      <c r="A29" s="2" t="s">
        <v>168</v>
      </c>
      <c r="B29" s="8" t="s">
        <v>169</v>
      </c>
      <c r="C29" s="2" t="s">
        <v>170</v>
      </c>
      <c r="D29" s="2" t="s">
        <v>171</v>
      </c>
      <c r="E29" s="2" t="s">
        <v>172</v>
      </c>
      <c r="F29" s="2" t="s">
        <v>173</v>
      </c>
      <c r="G29" s="2" t="s">
        <v>174</v>
      </c>
      <c r="H29" s="4" t="s">
        <v>18</v>
      </c>
      <c r="I29" s="2" t="s">
        <v>134</v>
      </c>
      <c r="J29" s="2" t="s">
        <v>175</v>
      </c>
      <c r="K29" s="2" t="s">
        <v>21</v>
      </c>
    </row>
    <row r="30" customFormat="false" ht="35.05" hidden="false" customHeight="false" outlineLevel="0" collapsed="false">
      <c r="A30" s="2" t="s">
        <v>176</v>
      </c>
      <c r="B30" s="8" t="s">
        <v>169</v>
      </c>
      <c r="C30" s="2" t="s">
        <v>170</v>
      </c>
      <c r="D30" s="2" t="s">
        <v>171</v>
      </c>
      <c r="E30" s="2" t="s">
        <v>177</v>
      </c>
      <c r="F30" s="2" t="s">
        <v>178</v>
      </c>
      <c r="G30" s="2" t="s">
        <v>179</v>
      </c>
      <c r="H30" s="4" t="s">
        <v>18</v>
      </c>
      <c r="I30" s="2" t="s">
        <v>19</v>
      </c>
      <c r="J30" s="2" t="s">
        <v>175</v>
      </c>
      <c r="K30" s="2" t="s">
        <v>21</v>
      </c>
    </row>
    <row r="31" customFormat="false" ht="35.05" hidden="false" customHeight="false" outlineLevel="0" collapsed="false">
      <c r="A31" s="2" t="s">
        <v>180</v>
      </c>
      <c r="B31" s="8" t="s">
        <v>169</v>
      </c>
      <c r="C31" s="2" t="s">
        <v>170</v>
      </c>
      <c r="D31" s="2" t="s">
        <v>181</v>
      </c>
      <c r="E31" s="2" t="s">
        <v>182</v>
      </c>
      <c r="F31" s="2" t="s">
        <v>183</v>
      </c>
      <c r="G31" s="2" t="s">
        <v>184</v>
      </c>
      <c r="H31" s="6" t="s">
        <v>89</v>
      </c>
      <c r="I31" s="2" t="s">
        <v>134</v>
      </c>
      <c r="J31" s="2" t="s">
        <v>185</v>
      </c>
      <c r="K31" s="2" t="s">
        <v>21</v>
      </c>
    </row>
    <row r="32" customFormat="false" ht="35.05" hidden="false" customHeight="false" outlineLevel="0" collapsed="false">
      <c r="A32" s="2" t="s">
        <v>186</v>
      </c>
      <c r="B32" s="8" t="s">
        <v>169</v>
      </c>
      <c r="C32" s="2" t="s">
        <v>170</v>
      </c>
      <c r="D32" s="2" t="s">
        <v>181</v>
      </c>
      <c r="E32" s="2" t="s">
        <v>187</v>
      </c>
      <c r="F32" s="2" t="s">
        <v>188</v>
      </c>
      <c r="G32" s="2" t="s">
        <v>189</v>
      </c>
      <c r="H32" s="5" t="s">
        <v>32</v>
      </c>
      <c r="I32" s="2" t="s">
        <v>134</v>
      </c>
      <c r="J32" s="2" t="s">
        <v>190</v>
      </c>
      <c r="K32" s="2" t="s">
        <v>21</v>
      </c>
    </row>
    <row r="33" customFormat="false" ht="35.05" hidden="false" customHeight="false" outlineLevel="0" collapsed="false">
      <c r="A33" s="2" t="s">
        <v>191</v>
      </c>
      <c r="B33" s="8" t="s">
        <v>169</v>
      </c>
      <c r="C33" s="2" t="s">
        <v>170</v>
      </c>
      <c r="D33" s="2" t="s">
        <v>192</v>
      </c>
      <c r="E33" s="2" t="s">
        <v>193</v>
      </c>
      <c r="F33" s="2" t="s">
        <v>194</v>
      </c>
      <c r="G33" s="2" t="s">
        <v>195</v>
      </c>
      <c r="H33" s="6" t="s">
        <v>89</v>
      </c>
      <c r="I33" s="2" t="s">
        <v>19</v>
      </c>
      <c r="J33" s="2" t="s">
        <v>185</v>
      </c>
      <c r="K33" s="2" t="s">
        <v>21</v>
      </c>
    </row>
    <row r="34" customFormat="false" ht="23.85" hidden="false" customHeight="false" outlineLevel="0" collapsed="false">
      <c r="A34" s="2" t="s">
        <v>196</v>
      </c>
      <c r="B34" s="8" t="s">
        <v>169</v>
      </c>
      <c r="C34" s="2" t="s">
        <v>113</v>
      </c>
      <c r="D34" s="2" t="s">
        <v>192</v>
      </c>
      <c r="E34" s="2" t="s">
        <v>197</v>
      </c>
      <c r="F34" s="2" t="s">
        <v>198</v>
      </c>
      <c r="G34" s="2" t="s">
        <v>199</v>
      </c>
      <c r="H34" s="5" t="s">
        <v>32</v>
      </c>
      <c r="I34" s="2" t="s">
        <v>33</v>
      </c>
      <c r="J34" s="2" t="s">
        <v>200</v>
      </c>
      <c r="K34" s="2" t="s">
        <v>21</v>
      </c>
    </row>
  </sheetData>
  <autoFilter ref="A1:K3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2"/>
    <col collapsed="false" customWidth="true" hidden="false" outlineLevel="0" max="3" min="3" style="0" width="55"/>
    <col collapsed="false" customWidth="true" hidden="false" outlineLevel="0" max="4" min="4" style="0" width="14"/>
    <col collapsed="false" customWidth="true" hidden="false" outlineLevel="0" max="5" min="5" style="0" width="18"/>
  </cols>
  <sheetData>
    <row r="1" customFormat="false" ht="15" hidden="false" customHeight="false" outlineLevel="0" collapsed="false">
      <c r="A1" s="1" t="s">
        <v>3</v>
      </c>
      <c r="B1" s="1" t="s">
        <v>1</v>
      </c>
      <c r="C1" s="1" t="s">
        <v>201</v>
      </c>
      <c r="D1" s="1" t="s">
        <v>202</v>
      </c>
      <c r="E1" s="1" t="s">
        <v>203</v>
      </c>
    </row>
    <row r="2" customFormat="false" ht="15" hidden="false" customHeight="false" outlineLevel="0" collapsed="false">
      <c r="A2" s="2" t="s">
        <v>14</v>
      </c>
      <c r="B2" s="3" t="s">
        <v>12</v>
      </c>
      <c r="C2" s="2" t="s">
        <v>204</v>
      </c>
      <c r="D2" s="2" t="n">
        <f aca="false">COUNTIF(Backlog!D:D,A2)</f>
        <v>1</v>
      </c>
      <c r="E2" s="2" t="n">
        <f aca="false">SUMIF(Backlog!D:D,A2,Backlog!I:I)</f>
        <v>0</v>
      </c>
    </row>
    <row r="3" customFormat="false" ht="15" hidden="false" customHeight="false" outlineLevel="0" collapsed="false">
      <c r="A3" s="2" t="s">
        <v>23</v>
      </c>
      <c r="B3" s="3" t="s">
        <v>12</v>
      </c>
      <c r="C3" s="2" t="s">
        <v>205</v>
      </c>
      <c r="D3" s="2" t="n">
        <f aca="false">COUNTIF(Backlog!D:D,A3)</f>
        <v>3</v>
      </c>
      <c r="E3" s="2" t="n">
        <f aca="false">SUMIF(Backlog!D:D,A3,Backlog!I:I)</f>
        <v>0</v>
      </c>
    </row>
    <row r="4" customFormat="false" ht="15" hidden="false" customHeight="false" outlineLevel="0" collapsed="false">
      <c r="A4" s="2" t="s">
        <v>28</v>
      </c>
      <c r="B4" s="3" t="s">
        <v>12</v>
      </c>
      <c r="C4" s="2" t="s">
        <v>206</v>
      </c>
      <c r="D4" s="2" t="n">
        <f aca="false">COUNTIF(Backlog!D:D,A4)</f>
        <v>2</v>
      </c>
      <c r="E4" s="2" t="n">
        <f aca="false">SUMIF(Backlog!D:D,A4,Backlog!I:I)</f>
        <v>0</v>
      </c>
    </row>
    <row r="5" customFormat="false" ht="15" hidden="false" customHeight="false" outlineLevel="0" collapsed="false">
      <c r="A5" s="2" t="s">
        <v>65</v>
      </c>
      <c r="B5" s="3" t="s">
        <v>12</v>
      </c>
      <c r="C5" s="2" t="s">
        <v>207</v>
      </c>
      <c r="D5" s="2" t="n">
        <f aca="false">COUNTIF(Backlog!D:D,A5)</f>
        <v>2</v>
      </c>
      <c r="E5" s="2" t="n">
        <f aca="false">SUMIF(Backlog!D:D,A5,Backlog!I:I)</f>
        <v>0</v>
      </c>
    </row>
    <row r="6" customFormat="false" ht="15" hidden="false" customHeight="false" outlineLevel="0" collapsed="false">
      <c r="A6" s="2" t="s">
        <v>98</v>
      </c>
      <c r="B6" s="3" t="s">
        <v>12</v>
      </c>
      <c r="C6" s="2" t="s">
        <v>208</v>
      </c>
      <c r="D6" s="2" t="n">
        <f aca="false">COUNTIF(Backlog!D:D,A6)</f>
        <v>4</v>
      </c>
      <c r="E6" s="2" t="n">
        <f aca="false">SUMIF(Backlog!D:D,A6,Backlog!I:I)</f>
        <v>0</v>
      </c>
    </row>
    <row r="7" customFormat="false" ht="15" hidden="false" customHeight="false" outlineLevel="0" collapsed="false">
      <c r="A7" s="2" t="s">
        <v>75</v>
      </c>
      <c r="B7" s="3" t="s">
        <v>12</v>
      </c>
      <c r="C7" s="2" t="s">
        <v>209</v>
      </c>
      <c r="D7" s="2" t="n">
        <f aca="false">COUNTIF(Backlog!D:D,A7)</f>
        <v>4</v>
      </c>
      <c r="E7" s="2" t="n">
        <f aca="false">SUMIF(Backlog!D:D,A7,Backlog!I:I)</f>
        <v>0</v>
      </c>
    </row>
    <row r="8" customFormat="false" ht="15" hidden="false" customHeight="false" outlineLevel="0" collapsed="false">
      <c r="A8" s="2" t="s">
        <v>59</v>
      </c>
      <c r="B8" s="3" t="s">
        <v>12</v>
      </c>
      <c r="C8" s="2" t="s">
        <v>210</v>
      </c>
      <c r="D8" s="2" t="n">
        <f aca="false">COUNTIF(Backlog!D:D,A8)</f>
        <v>1</v>
      </c>
      <c r="E8" s="2" t="n">
        <f aca="false">SUMIF(Backlog!D:D,A8,Backlog!I:I)</f>
        <v>0</v>
      </c>
    </row>
    <row r="9" customFormat="false" ht="15" hidden="false" customHeight="false" outlineLevel="0" collapsed="false">
      <c r="A9" s="2" t="s">
        <v>43</v>
      </c>
      <c r="B9" s="3" t="s">
        <v>12</v>
      </c>
      <c r="C9" s="2" t="s">
        <v>211</v>
      </c>
      <c r="D9" s="2" t="n">
        <f aca="false">COUNTIF(Backlog!D:D,A9)</f>
        <v>3</v>
      </c>
      <c r="E9" s="2" t="n">
        <f aca="false">SUMIF(Backlog!D:D,A9,Backlog!I:I)</f>
        <v>0</v>
      </c>
    </row>
    <row r="10" customFormat="false" ht="15" hidden="false" customHeight="false" outlineLevel="0" collapsed="false">
      <c r="A10" s="2" t="s">
        <v>130</v>
      </c>
      <c r="B10" s="7" t="s">
        <v>128</v>
      </c>
      <c r="C10" s="2" t="s">
        <v>212</v>
      </c>
      <c r="D10" s="2" t="n">
        <f aca="false">COUNTIF(Backlog!D:D,A10)</f>
        <v>2</v>
      </c>
      <c r="E10" s="2" t="n">
        <f aca="false">SUMIF(Backlog!D:D,A10,Backlog!I:I)</f>
        <v>0</v>
      </c>
    </row>
    <row r="11" customFormat="false" ht="15" hidden="false" customHeight="false" outlineLevel="0" collapsed="false">
      <c r="A11" s="2" t="s">
        <v>142</v>
      </c>
      <c r="B11" s="7" t="s">
        <v>128</v>
      </c>
      <c r="C11" s="2" t="s">
        <v>213</v>
      </c>
      <c r="D11" s="2" t="n">
        <f aca="false">COUNTIF(Backlog!D:D,A11)</f>
        <v>2</v>
      </c>
      <c r="E11" s="2" t="n">
        <f aca="false">SUMIF(Backlog!D:D,A11,Backlog!I:I)</f>
        <v>0</v>
      </c>
    </row>
    <row r="12" customFormat="false" ht="15" hidden="false" customHeight="false" outlineLevel="0" collapsed="false">
      <c r="A12" s="2" t="s">
        <v>153</v>
      </c>
      <c r="B12" s="7" t="s">
        <v>128</v>
      </c>
      <c r="C12" s="2" t="s">
        <v>214</v>
      </c>
      <c r="D12" s="2" t="n">
        <f aca="false">COUNTIF(Backlog!D:D,A12)</f>
        <v>2</v>
      </c>
      <c r="E12" s="2" t="n">
        <f aca="false">SUMIF(Backlog!D:D,A12,Backlog!I:I)</f>
        <v>0</v>
      </c>
    </row>
    <row r="13" customFormat="false" ht="15" hidden="false" customHeight="false" outlineLevel="0" collapsed="false">
      <c r="A13" s="2" t="s">
        <v>164</v>
      </c>
      <c r="B13" s="7" t="s">
        <v>128</v>
      </c>
      <c r="C13" s="2" t="s">
        <v>165</v>
      </c>
      <c r="D13" s="2" t="n">
        <f aca="false">COUNTIF(Backlog!D:D,A13)</f>
        <v>1</v>
      </c>
      <c r="E13" s="2" t="n">
        <f aca="false">SUMIF(Backlog!D:D,A13,Backlog!I:I)</f>
        <v>0</v>
      </c>
    </row>
    <row r="14" customFormat="false" ht="23.85" hidden="false" customHeight="false" outlineLevel="0" collapsed="false">
      <c r="A14" s="2" t="s">
        <v>171</v>
      </c>
      <c r="B14" s="8" t="s">
        <v>169</v>
      </c>
      <c r="C14" s="2" t="s">
        <v>215</v>
      </c>
      <c r="D14" s="2" t="n">
        <f aca="false">COUNTIF(Backlog!D:D,A14)</f>
        <v>2</v>
      </c>
      <c r="E14" s="2" t="n">
        <f aca="false">SUMIF(Backlog!D:D,A14,Backlog!I:I)</f>
        <v>0</v>
      </c>
    </row>
    <row r="15" customFormat="false" ht="23.85" hidden="false" customHeight="false" outlineLevel="0" collapsed="false">
      <c r="A15" s="2" t="s">
        <v>181</v>
      </c>
      <c r="B15" s="8" t="s">
        <v>169</v>
      </c>
      <c r="C15" s="2" t="s">
        <v>216</v>
      </c>
      <c r="D15" s="2" t="n">
        <f aca="false">COUNTIF(Backlog!D:D,A15)</f>
        <v>2</v>
      </c>
      <c r="E15" s="2" t="n">
        <f aca="false">SUMIF(Backlog!D:D,A15,Backlog!I:I)</f>
        <v>0</v>
      </c>
    </row>
    <row r="16" customFormat="false" ht="23.85" hidden="false" customHeight="false" outlineLevel="0" collapsed="false">
      <c r="A16" s="2" t="s">
        <v>192</v>
      </c>
      <c r="B16" s="8" t="s">
        <v>169</v>
      </c>
      <c r="C16" s="2" t="s">
        <v>217</v>
      </c>
      <c r="D16" s="2" t="n">
        <f aca="false">COUNTIF(Backlog!D:D,A16)</f>
        <v>2</v>
      </c>
      <c r="E16" s="2" t="n">
        <f aca="false">SUMIF(Backlog!D:D,A16,Backlog!I:I)</f>
        <v>0</v>
      </c>
    </row>
    <row r="17" customFormat="false" ht="15" hidden="false" customHeight="false" outlineLevel="0" collapsed="false">
      <c r="A17" s="9" t="s">
        <v>218</v>
      </c>
      <c r="B17" s="2"/>
      <c r="C17" s="2"/>
      <c r="D17" s="9" t="n">
        <f aca="false">SUM(D2:D16)</f>
        <v>33</v>
      </c>
      <c r="E17" s="9" t="n">
        <f aca="false">SUM(E2:E16)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" min="2" style="0" width="15"/>
  </cols>
  <sheetData>
    <row r="1" customFormat="false" ht="23.85" hidden="false" customHeight="false" outlineLevel="0" collapsed="false">
      <c r="A1" s="1" t="s">
        <v>1</v>
      </c>
      <c r="B1" s="1" t="s">
        <v>202</v>
      </c>
      <c r="C1" s="1" t="s">
        <v>203</v>
      </c>
      <c r="D1" s="1" t="s">
        <v>18</v>
      </c>
      <c r="E1" s="1" t="s">
        <v>32</v>
      </c>
      <c r="F1" s="1" t="s">
        <v>89</v>
      </c>
    </row>
    <row r="2" customFormat="false" ht="15" hidden="false" customHeight="false" outlineLevel="0" collapsed="false">
      <c r="A2" s="3" t="s">
        <v>12</v>
      </c>
      <c r="B2" s="2" t="n">
        <f aca="false">COUNTIF(Backlog!B:B,A2)</f>
        <v>20</v>
      </c>
      <c r="C2" s="2" t="n">
        <f aca="false">SUMIF(Backlog!B:B,A2,Backlog!I:I)</f>
        <v>0</v>
      </c>
      <c r="D2" s="2" t="n">
        <f aca="false">COUNTIFS(Backlog!B:B,A2,Backlog!H:H,"Must")</f>
        <v>13</v>
      </c>
      <c r="E2" s="2" t="n">
        <f aca="false">COUNTIFS(Backlog!B:B,A2,Backlog!H:H,"Should")</f>
        <v>5</v>
      </c>
      <c r="F2" s="2" t="n">
        <f aca="false">COUNTIFS(Backlog!B:B,A2,Backlog!H:H,"Could")</f>
        <v>2</v>
      </c>
    </row>
    <row r="3" customFormat="false" ht="15" hidden="false" customHeight="false" outlineLevel="0" collapsed="false">
      <c r="A3" s="7" t="s">
        <v>128</v>
      </c>
      <c r="B3" s="2" t="n">
        <f aca="false">COUNTIF(Backlog!B:B,A3)</f>
        <v>7</v>
      </c>
      <c r="C3" s="2" t="n">
        <f aca="false">SUMIF(Backlog!B:B,A3,Backlog!I:I)</f>
        <v>0</v>
      </c>
      <c r="D3" s="2" t="n">
        <f aca="false">COUNTIFS(Backlog!B:B,A3,Backlog!H:H,"Must")</f>
        <v>2</v>
      </c>
      <c r="E3" s="2" t="n">
        <f aca="false">COUNTIFS(Backlog!B:B,A3,Backlog!H:H,"Should")</f>
        <v>3</v>
      </c>
      <c r="F3" s="2" t="n">
        <f aca="false">COUNTIFS(Backlog!B:B,A3,Backlog!H:H,"Could")</f>
        <v>2</v>
      </c>
    </row>
    <row r="4" customFormat="false" ht="15" hidden="false" customHeight="false" outlineLevel="0" collapsed="false">
      <c r="A4" s="8" t="s">
        <v>169</v>
      </c>
      <c r="B4" s="2" t="n">
        <f aca="false">COUNTIF(Backlog!B:B,A4)</f>
        <v>6</v>
      </c>
      <c r="C4" s="2" t="n">
        <f aca="false">SUMIF(Backlog!B:B,A4,Backlog!I:I)</f>
        <v>0</v>
      </c>
      <c r="D4" s="2" t="n">
        <f aca="false">COUNTIFS(Backlog!B:B,A4,Backlog!H:H,"Must")</f>
        <v>2</v>
      </c>
      <c r="E4" s="2" t="n">
        <f aca="false">COUNTIFS(Backlog!B:B,A4,Backlog!H:H,"Should")</f>
        <v>2</v>
      </c>
      <c r="F4" s="2" t="n">
        <f aca="false">COUNTIFS(Backlog!B:B,A4,Backlog!H:H,"Could")</f>
        <v>2</v>
      </c>
    </row>
    <row r="5" customFormat="false" ht="15" hidden="false" customHeight="false" outlineLevel="0" collapsed="false">
      <c r="A5" s="9" t="s">
        <v>218</v>
      </c>
      <c r="B5" s="9" t="n">
        <f aca="false">SUM(B2:B4)</f>
        <v>33</v>
      </c>
      <c r="C5" s="9" t="n">
        <f aca="false">SUM(C2:C4)</f>
        <v>0</v>
      </c>
      <c r="D5" s="9" t="n">
        <f aca="false">SUM(D2:D4)</f>
        <v>17</v>
      </c>
      <c r="E5" s="9" t="n">
        <f aca="false">SUM(E2:E4)</f>
        <v>10</v>
      </c>
      <c r="F5" s="9" t="n">
        <f aca="false">SUM(F2:F4)</f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2026-07-04T12:24:37Z</dcterms:created>
  <dc:creator>openpyxl</dc:creator>
  <dc:description/>
  <dc:language>en-US</dc:language>
  <cp:lastModifiedBy/>
  <dcterms:modified xsi:type="dcterms:W3CDTF">2026-07-04T12:24:37Z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